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1 · Article figures" sheetId="2" state="visible" r:id="rId2"/>
    <sheet name="2 · Headline" sheetId="3" state="visible" r:id="rId3"/>
    <sheet name="3 · Size-matched" sheetId="4" state="visible" r:id="rId4"/>
    <sheet name="4 · By sector" sheetId="5" state="visible" r:id="rId5"/>
    <sheet name="5 · Banks vs miners" sheetId="6" state="visible" r:id="rId6"/>
    <sheet name="6 · Company data" sheetId="7" state="visible" r:id="rId7"/>
    <sheet name="7 · Outside claims" sheetId="8" state="visible" r:id="rId8"/>
    <sheet name="8 · Spot checks" sheetId="9" state="visible" r:id="rId9"/>
  </sheets>
  <definedNames>
    <definedName name="_xlnm._FilterDatabase" localSheetId="6" hidden="1">'6 · Company data'!$A$4:$S$875</definedName>
  </definedNames>
  <calcPr calcId="124519" fullCalcOnLoad="1"/>
</workbook>
</file>

<file path=xl/styles.xml><?xml version="1.0" encoding="utf-8"?>
<styleSheet xmlns="http://schemas.openxmlformats.org/spreadsheetml/2006/main">
  <numFmts count="3">
    <numFmt numFmtId="164" formatCode="0.0&quot;%&quot;;-0.0&quot;%&quot;"/>
    <numFmt numFmtId="165" formatCode="0.0&quot;×&quot;"/>
    <numFmt numFmtId="166" formatCode="+0.0&quot;pp&quot;;-0.0&quot;pp&quot;"/>
  </numFmts>
  <fonts count="32">
    <font>
      <name val="Calibri"/>
      <family val="2"/>
      <color theme="1"/>
      <sz val="11"/>
      <scheme val="minor"/>
    </font>
    <font>
      <name val="Calibri"/>
      <b val="1"/>
      <color rgb="001A3A6E"/>
      <sz val="16"/>
    </font>
    <font>
      <name val="Calibri"/>
      <i val="1"/>
      <color rgb="00626B77"/>
      <sz val="10"/>
    </font>
    <font>
      <name val="Calibri"/>
      <b val="1"/>
      <color rgb="001A3A6E"/>
      <sz val="10"/>
    </font>
    <font>
      <name val="Calibri"/>
      <sz val="10"/>
    </font>
    <font>
      <name val="Calibri"/>
      <color rgb="001A1A1A"/>
      <sz val="10"/>
    </font>
    <font>
      <name val="Calibri"/>
      <b val="1"/>
      <color rgb="00FFFFFF"/>
      <sz val="10"/>
    </font>
    <font>
      <name val="Consolas"/>
      <b val="1"/>
      <sz val="10"/>
    </font>
    <font>
      <name val="Calibri"/>
      <color rgb="00626B77"/>
      <sz val="10"/>
    </font>
    <font>
      <name val="Calibri"/>
      <i val="1"/>
      <color rgb="00626B77"/>
      <sz val="9"/>
    </font>
    <font>
      <name val="Consolas"/>
      <sz val="9"/>
    </font>
    <font>
      <name val="Calibri"/>
      <sz val="9"/>
    </font>
    <font>
      <name val="Consolas"/>
      <color rgb="008A97A8"/>
      <sz val="9"/>
    </font>
    <font>
      <name val="Calibri"/>
      <b val="1"/>
      <sz val="11"/>
    </font>
    <font>
      <name val="Consolas"/>
      <b val="1"/>
      <color rgb="001E5CB3"/>
      <sz val="12"/>
    </font>
    <font>
      <name val="Consolas"/>
      <sz val="10"/>
    </font>
    <font>
      <name val="Consolas"/>
      <sz val="11"/>
    </font>
    <font>
      <name val="Calibri"/>
      <b val="1"/>
      <color rgb="001A3A6E"/>
      <sz val="11"/>
    </font>
    <font>
      <name val="Consolas"/>
      <color rgb="001A1A1A"/>
      <sz val="10"/>
    </font>
    <font>
      <name val="Consolas"/>
      <b val="1"/>
      <color rgb="001E5CB3"/>
      <sz val="10"/>
    </font>
    <font>
      <name val="Calibri"/>
      <i val="1"/>
      <color rgb="001A3A6E"/>
      <sz val="9"/>
    </font>
    <font>
      <name val="Calibri"/>
      <b val="1"/>
      <color rgb="001A3A6E"/>
      <sz val="12"/>
    </font>
    <font>
      <name val="Calibri"/>
      <b val="1"/>
      <sz val="10"/>
    </font>
    <font>
      <name val="Consolas"/>
      <b val="1"/>
      <color rgb="001A3A6E"/>
      <sz val="12"/>
    </font>
    <font>
      <name val="Calibri"/>
      <b val="1"/>
      <color rgb="008A5A00"/>
      <sz val="12"/>
    </font>
    <font>
      <name val="Consolas"/>
      <b val="1"/>
      <color rgb="008A5A00"/>
      <sz val="12"/>
    </font>
    <font>
      <name val="Consolas"/>
      <b val="1"/>
      <color rgb="001E5CB3"/>
      <sz val="14"/>
    </font>
    <font>
      <name val="Calibri"/>
      <i val="1"/>
      <color rgb="001A3A6E"/>
      <sz val="10"/>
    </font>
    <font>
      <name val="Calibri"/>
      <color rgb="000563C1"/>
      <sz val="9"/>
      <u val="single"/>
    </font>
    <font>
      <name val="Calibri"/>
      <i val="1"/>
      <sz val="10"/>
    </font>
    <font>
      <name val="Consolas"/>
      <b val="1"/>
      <color rgb="001E5CB3"/>
      <sz val="11"/>
    </font>
    <font>
      <name val="Calibri"/>
      <color rgb="000563C1"/>
      <sz val="9"/>
    </font>
  </fonts>
  <fills count="6">
    <fill>
      <patternFill/>
    </fill>
    <fill>
      <patternFill patternType="gray125"/>
    </fill>
    <fill>
      <patternFill patternType="solid">
        <fgColor rgb="001A3A6E"/>
      </patternFill>
    </fill>
    <fill>
      <patternFill patternType="solid">
        <fgColor rgb="00EEF3FA"/>
      </patternFill>
    </fill>
    <fill>
      <patternFill patternType="solid">
        <fgColor rgb="00FFF4D6"/>
      </patternFill>
    </fill>
    <fill>
      <patternFill patternType="solid">
        <fgColor rgb="008A5A00"/>
      </patternFill>
    </fill>
  </fills>
  <borders count="1">
    <border>
      <left/>
      <right/>
      <top/>
      <bottom/>
      <diagonal/>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wrapText="1"/>
    </xf>
    <xf numFmtId="0" fontId="4" fillId="0" borderId="0" pivotButton="0" quotePrefix="0" xfId="0"/>
    <xf numFmtId="164" fontId="7" fillId="0" borderId="0" applyAlignment="1" pivotButton="0" quotePrefix="0" xfId="0">
      <alignment horizontal="right"/>
    </xf>
    <xf numFmtId="0" fontId="8" fillId="0" borderId="0" pivotButton="0" quotePrefix="0" xfId="0"/>
    <xf numFmtId="0" fontId="9" fillId="0" borderId="0" pivotButton="0" quotePrefix="0" xfId="0"/>
    <xf numFmtId="0" fontId="4" fillId="3" borderId="0" pivotButton="0" quotePrefix="0" xfId="0"/>
    <xf numFmtId="164" fontId="7" fillId="3" borderId="0" applyAlignment="1" pivotButton="0" quotePrefix="0" xfId="0">
      <alignment horizontal="right"/>
    </xf>
    <xf numFmtId="0" fontId="8" fillId="3" borderId="0" pivotButton="0" quotePrefix="0" xfId="0"/>
    <xf numFmtId="0" fontId="9" fillId="3" borderId="0" pivotButton="0" quotePrefix="0" xfId="0"/>
    <xf numFmtId="0" fontId="7" fillId="0" borderId="0" applyAlignment="1" pivotButton="0" quotePrefix="0" xfId="0">
      <alignment horizontal="right"/>
    </xf>
    <xf numFmtId="165" fontId="7" fillId="3" borderId="0" applyAlignment="1" pivotButton="0" quotePrefix="0" xfId="0">
      <alignment horizontal="right"/>
    </xf>
    <xf numFmtId="0" fontId="7" fillId="3" borderId="0" applyAlignment="1" pivotButton="0" quotePrefix="0" xfId="0">
      <alignment horizontal="right"/>
    </xf>
    <xf numFmtId="0" fontId="13" fillId="0" borderId="0" pivotButton="0" quotePrefix="0" xfId="0"/>
    <xf numFmtId="164" fontId="14" fillId="0" borderId="0" pivotButton="0" quotePrefix="0" xfId="0"/>
    <xf numFmtId="0" fontId="15" fillId="0" borderId="0" pivotButton="0" quotePrefix="0" xfId="0"/>
    <xf numFmtId="0" fontId="0" fillId="0" borderId="0" applyAlignment="1" pivotButton="0" quotePrefix="0" xfId="0">
      <alignment wrapText="1"/>
    </xf>
    <xf numFmtId="164" fontId="16" fillId="0" borderId="0" pivotButton="0" quotePrefix="0" xfId="0"/>
    <xf numFmtId="166" fontId="15" fillId="0" borderId="0" pivotButton="0" quotePrefix="0" xfId="0"/>
    <xf numFmtId="0" fontId="9" fillId="0" borderId="0" applyAlignment="1" pivotButton="0" quotePrefix="0" xfId="0">
      <alignment vertical="top" wrapText="1"/>
    </xf>
    <xf numFmtId="0" fontId="17" fillId="0" borderId="0" pivotButton="0" quotePrefix="0" xfId="0"/>
    <xf numFmtId="164" fontId="18" fillId="0" borderId="0" pivotButton="0" quotePrefix="0" xfId="0"/>
    <xf numFmtId="0" fontId="12" fillId="0" borderId="0" pivotButton="0" quotePrefix="0" xfId="0"/>
    <xf numFmtId="0" fontId="18" fillId="0" borderId="0" applyAlignment="1" pivotButton="0" quotePrefix="0" xfId="0">
      <alignment horizontal="right"/>
    </xf>
    <xf numFmtId="0" fontId="3" fillId="4" borderId="0" pivotButton="0" quotePrefix="0" xfId="0"/>
    <xf numFmtId="164" fontId="19" fillId="4" borderId="0" pivotButton="0" quotePrefix="0" xfId="0"/>
    <xf numFmtId="0" fontId="12" fillId="4" borderId="0" pivotButton="0" quotePrefix="0" xfId="0"/>
    <xf numFmtId="0" fontId="20" fillId="4" borderId="0" pivotButton="0" quotePrefix="0" xfId="0"/>
    <xf numFmtId="0" fontId="21" fillId="0" borderId="0" pivotButton="0" quotePrefix="0" xfId="0"/>
    <xf numFmtId="164" fontId="15" fillId="0" borderId="0" pivotButton="0" quotePrefix="0" xfId="0"/>
    <xf numFmtId="0" fontId="0" fillId="3" borderId="0" pivotButton="0" quotePrefix="0" xfId="0"/>
    <xf numFmtId="0" fontId="22" fillId="3" borderId="0" pivotButton="0" quotePrefix="0" xfId="0"/>
    <xf numFmtId="164" fontId="23" fillId="3" borderId="0" pivotButton="0" quotePrefix="0" xfId="0"/>
    <xf numFmtId="0" fontId="24" fillId="0" borderId="0" pivotButton="0" quotePrefix="0" xfId="0"/>
    <xf numFmtId="0" fontId="6" fillId="5" borderId="0" applyAlignment="1" pivotButton="0" quotePrefix="0" xfId="0">
      <alignment vertical="center" wrapText="1"/>
    </xf>
    <xf numFmtId="164" fontId="25" fillId="3" borderId="0" pivotButton="0" quotePrefix="0" xfId="0"/>
    <xf numFmtId="165" fontId="26"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pivotButton="0" quotePrefix="0" xfId="0"/>
    <xf numFmtId="3" fontId="10" fillId="0" borderId="0" pivotButton="0" quotePrefix="0" xfId="0"/>
    <xf numFmtId="164" fontId="10" fillId="0" borderId="0" pivotButton="0" quotePrefix="0" xfId="0"/>
    <xf numFmtId="164" fontId="12" fillId="0" borderId="0" pivotButton="0" quotePrefix="0" xfId="0"/>
    <xf numFmtId="0" fontId="10" fillId="3" borderId="0" pivotButton="0" quotePrefix="0" xfId="0"/>
    <xf numFmtId="0" fontId="11" fillId="3" borderId="0" pivotButton="0" quotePrefix="0" xfId="0"/>
    <xf numFmtId="3" fontId="10" fillId="3" borderId="0" pivotButton="0" quotePrefix="0" xfId="0"/>
    <xf numFmtId="164" fontId="10" fillId="3" borderId="0" pivotButton="0" quotePrefix="0" xfId="0"/>
    <xf numFmtId="164" fontId="12" fillId="3" borderId="0" pivotButton="0" quotePrefix="0" xfId="0"/>
    <xf numFmtId="0" fontId="27" fillId="0" borderId="0" pivotButton="0" quotePrefix="0" xfId="0"/>
    <xf numFmtId="0" fontId="28" fillId="0" borderId="0" pivotButton="0" quotePrefix="0" xfId="0"/>
    <xf numFmtId="0" fontId="29" fillId="0" borderId="0" applyAlignment="1" pivotButton="0" quotePrefix="0" xfId="0">
      <alignment vertical="top" wrapText="1"/>
    </xf>
    <xf numFmtId="0" fontId="0" fillId="0" borderId="0" applyAlignment="1" pivotButton="0" quotePrefix="0" xfId="0">
      <alignment horizontal="center"/>
    </xf>
    <xf numFmtId="0" fontId="7" fillId="0" borderId="0" pivotButton="0" quotePrefix="0" xfId="0"/>
    <xf numFmtId="0" fontId="0" fillId="0" borderId="0" applyAlignment="1" pivotButton="0" quotePrefix="0" xfId="0">
      <alignment vertical="center" wrapText="1"/>
    </xf>
    <xf numFmtId="164" fontId="30" fillId="0" borderId="0" applyAlignment="1" pivotButton="0" quotePrefix="0" xfId="0">
      <alignment horizontal="right"/>
    </xf>
    <xf numFmtId="0" fontId="7" fillId="3" borderId="0" pivotButton="0" quotePrefix="0" xfId="0"/>
    <xf numFmtId="0" fontId="0" fillId="3" borderId="0" applyAlignment="1" pivotButton="0" quotePrefix="0" xfId="0">
      <alignment vertical="center" wrapText="1"/>
    </xf>
    <xf numFmtId="164" fontId="30" fillId="3" borderId="0" applyAlignment="1" pivotButton="0" quotePrefix="0" xfId="0">
      <alignment horizontal="right"/>
    </xf>
    <xf numFmtId="0" fontId="28" fillId="3" borderId="0" pivotButton="0" quotePrefix="0" xfId="0"/>
    <xf numFmtId="0" fontId="30" fillId="0" borderId="0" applyAlignment="1" pivotButton="0" quotePrefix="0" xfId="0">
      <alignment horizontal="right"/>
    </xf>
    <xf numFmtId="0" fontId="30" fillId="3" borderId="0" applyAlignment="1" pivotButton="0" quotePrefix="0" xfId="0">
      <alignment horizontal="right"/>
    </xf>
    <xf numFmtId="0" fontId="3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www.marketindex.com.au/asx/cba" TargetMode="External" Id="rId1" /><Relationship Type="http://schemas.openxmlformats.org/officeDocument/2006/relationships/hyperlink" Target="https://www.marketindex.com.au/asx/fmg" TargetMode="External" Id="rId2" /><Relationship Type="http://schemas.openxmlformats.org/officeDocument/2006/relationships/hyperlink" Target="https://www.marketindex.com.au/asx/wbc" TargetMode="External" Id="rId3" /><Relationship Type="http://schemas.openxmlformats.org/officeDocument/2006/relationships/hyperlink" Target="https://www.spglobal.com/spdji/en/indices/equity/sp-asx-200/" TargetMode="External" Id="rId4"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96" customWidth="1" min="2" max="2"/>
  </cols>
  <sheetData>
    <row r="1">
      <c r="A1" s="1" t="inlineStr">
        <is>
          <t>How far do ASX shares actually fall? — the working</t>
        </is>
      </c>
    </row>
    <row r="2" ht="30" customHeight="1">
      <c r="A2" s="2" t="inlineStr">
        <is>
          <t>Every figure printed in the article, and the data it was computed from. Figures on sheets 2–5 are live Excel formulas over sheet 6 — click any number to see its working.</t>
        </is>
      </c>
    </row>
    <row r="4">
      <c r="A4" s="3" t="inlineStr">
        <is>
          <t>What this workbook is</t>
        </is>
      </c>
      <c r="B4" s="4" t="inlineStr"/>
    </row>
    <row r="5" ht="45" customHeight="1">
      <c r="A5" s="5" t="inlineStr"/>
      <c r="B5" s="4" t="inlineStr">
        <is>
          <t>The article states 51 measured figures. This file contains all of them, the company-level data underneath them, and the formula that turns one into the other. Nothing is pasted as a value: every published number on sheets 2–5 recalculates from sheet 6 when you open it.</t>
        </is>
      </c>
    </row>
    <row r="6">
      <c r="A6" s="5" t="inlineStr"/>
      <c r="B6" s="4" t="inlineStr"/>
    </row>
    <row r="7">
      <c r="A7" s="3" t="inlineStr">
        <is>
          <t>The measurement</t>
        </is>
      </c>
      <c r="B7" s="4" t="inlineStr"/>
    </row>
    <row r="8" ht="30" customHeight="1">
      <c r="A8" s="5" t="inlineStr">
        <is>
          <t>What we measured</t>
        </is>
      </c>
      <c r="B8" s="4" t="inlineStr">
        <is>
          <t>For each company: every price fall deeper than 5%, and the AVERAGE depth of those falls. One number per company — its "typical fall".</t>
        </is>
      </c>
    </row>
    <row r="9" ht="30" customHeight="1">
      <c r="A9" s="5" t="inlineStr">
        <is>
          <t>Measured from</t>
        </is>
      </c>
      <c r="B9" s="4" t="inlineStr">
        <is>
          <t>The company's highest point in the PREVIOUS 252 trading days (about one year) — not from an all-time record. This is deliberately a question about ordinary setbacks.</t>
        </is>
      </c>
    </row>
    <row r="10">
      <c r="A10" s="5" t="inlineStr">
        <is>
          <t>Window</t>
        </is>
      </c>
      <c r="B10" s="4" t="inlineStr">
        <is>
          <t>1 January 2000 to 26 August 2026, daily closing prices.</t>
        </is>
      </c>
    </row>
    <row r="11" ht="45" customHeight="1">
      <c r="A11" s="5" t="inlineStr">
        <is>
          <t>Why 2000</t>
        </is>
      </c>
      <c r="B11" s="4" t="inlineStr">
        <is>
          <t>Our price history has a different hard floor per country: the US begins in 1962, Canada in 1995, Australia in 1988. 2000 is the first year that is complete for all three, so it is the only window in which the three can honestly be compared.</t>
        </is>
      </c>
    </row>
    <row r="12" ht="45" customHeight="1">
      <c r="A12" s="5" t="inlineStr">
        <is>
          <t>Universe</t>
        </is>
      </c>
      <c r="B12" s="4" t="inlineStr">
        <is>
          <t>Current members of the ASX 200, the S&amp;P 500 and the S&amp;P/TSX 60. Companies we cover but that are not in one of those three indices are included on sheet 6 for context and are EXCLUDED from every published figure.</t>
        </is>
      </c>
    </row>
    <row r="13">
      <c r="A13" s="5" t="inlineStr">
        <is>
          <t>Settings</t>
        </is>
      </c>
      <c r="B13" s="4" t="inlineStr">
        <is>
          <t>The product's own Medium preset: -5% pullback, +5% rebound, 252-day lookback.</t>
        </is>
      </c>
    </row>
    <row r="14" ht="30" customHeight="1">
      <c r="A14" s="5" t="inlineStr">
        <is>
          <t>Computed by</t>
        </is>
      </c>
      <c r="B14" s="4" t="inlineStr">
        <is>
          <t>analytics/major_cycle.py — the same code that runs on the site. Not a separate calculation written for the article.</t>
        </is>
      </c>
    </row>
    <row r="15">
      <c r="A15" s="5" t="inlineStr"/>
      <c r="B15" s="4" t="inlineStr"/>
    </row>
    <row r="16">
      <c r="A16" s="3" t="inlineStr">
        <is>
          <t>How the index figure is built</t>
        </is>
      </c>
      <c r="B16" s="4" t="inlineStr"/>
    </row>
    <row r="17" ht="45" customHeight="1">
      <c r="A17" s="5" t="inlineStr"/>
      <c r="B17" s="4" t="inlineStr">
        <is>
          <t>Each index figure is the MEDIAN of its member companies' typical falls — the middle company, not the average. A median is used because a handful of very volatile companies would drag an average and misdescribe the typical member.</t>
        </is>
      </c>
    </row>
    <row r="18">
      <c r="A18" s="5" t="inlineStr"/>
      <c r="B18" s="4" t="inlineStr"/>
    </row>
    <row r="19">
      <c r="A19" s="3" t="inlineStr">
        <is>
          <t>How to check a number</t>
        </is>
      </c>
      <c r="B19" s="4" t="inlineStr"/>
    </row>
    <row r="20">
      <c r="A20" s="5" t="inlineStr">
        <is>
          <t>1</t>
        </is>
      </c>
      <c r="B20" s="4" t="inlineStr">
        <is>
          <t>Open sheet 2, 3, 4 or 5 and click any percentage.</t>
        </is>
      </c>
    </row>
    <row r="21">
      <c r="A21" s="5" t="inlineStr">
        <is>
          <t>2</t>
        </is>
      </c>
      <c r="B21" s="4" t="inlineStr">
        <is>
          <t>The formula bar shows the exact rows on sheet 6 that produced it, e.g. =MEDIAN('6 · Company data'!O5:O205).</t>
        </is>
      </c>
    </row>
    <row r="22" ht="30" customHeight="1">
      <c r="A22" s="5" t="inlineStr">
        <is>
          <t>3</t>
        </is>
      </c>
      <c r="B22" s="4" t="inlineStr">
        <is>
          <t>Select those rows on sheet 6. Excel's status bar shows the count and average; the companies are listed by name.</t>
        </is>
      </c>
    </row>
    <row r="23">
      <c r="A23" s="5" t="inlineStr">
        <is>
          <t>4</t>
        </is>
      </c>
      <c r="B23" s="4" t="inlineStr">
        <is>
          <t>Sheet 8 lists five figures you can confirm on a public website in a few minutes, with links.</t>
        </is>
      </c>
    </row>
    <row r="24">
      <c r="A24" s="5" t="inlineStr"/>
      <c r="B24" s="4" t="inlineStr"/>
    </row>
    <row r="25">
      <c r="A25" s="3" t="inlineStr">
        <is>
          <t>Reading the numbers</t>
        </is>
      </c>
      <c r="B25" s="4" t="inlineStr"/>
    </row>
    <row r="26" ht="30" customHeight="1">
      <c r="A26" s="5" t="inlineStr">
        <is>
          <t>Units</t>
        </is>
      </c>
      <c r="B26" s="4" t="inlineStr">
        <is>
          <t>All percentages are stored as plain numbers (-21.7 means a 21.7% fall) so they can be averaged directly. They are only FORMATTED with a % sign.</t>
        </is>
      </c>
    </row>
    <row r="27">
      <c r="A27" s="5" t="inlineStr">
        <is>
          <t>Negative = a fall</t>
        </is>
      </c>
      <c r="B27" s="4" t="inlineStr">
        <is>
          <t>Typical fall, worst fall and current fall are all negative. Deeper is more negative.</t>
        </is>
      </c>
    </row>
    <row r="28" ht="45" customHeight="1">
      <c r="A28" s="5" t="inlineStr">
        <is>
          <t>Market cap</t>
        </is>
      </c>
      <c r="B28" s="4" t="inlineStr">
        <is>
          <t>Used only to rank companies WITHIN their own index (sheet 3). Each index is priced in one currency — ASX in AUD, S&amp;P 500 in USD, TSX in CAD — so a rank inside an index is sound, and a cap comparison ACROSS indices is not. The article never makes one.</t>
        </is>
      </c>
    </row>
    <row r="29">
      <c r="A29" s="5" t="inlineStr"/>
      <c r="B29" s="4" t="inlineStr"/>
    </row>
    <row r="30">
      <c r="A30" s="3" t="inlineStr">
        <is>
          <t>What this file cannot tell you</t>
        </is>
      </c>
      <c r="B30" s="4" t="inlineStr"/>
    </row>
    <row r="31" ht="45" customHeight="1">
      <c r="A31" s="5" t="inlineStr"/>
      <c r="B31" s="4" t="inlineStr">
        <is>
          <t>It cannot verify the cycle mathematics itself — that runs in Python before this file exists. What it verifies is everything built on top: which companies were included, what each one measured, and whether the published medians, tables and ratios follow from those company numbers.</t>
        </is>
      </c>
    </row>
    <row r="32" ht="30" customHeight="1">
      <c r="A32" s="5" t="inlineStr"/>
      <c r="B32" s="4" t="inlineStr">
        <is>
          <t>It is also a snapshot. Prices move, so re-running the study on a later date will move the figures. The article is dated 26 August 2026 for exactly this 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pane ySplit="4" topLeftCell="A5" activePane="bottomLeft" state="frozen"/>
      <selection pane="bottomLeft" activeCell="A1" sqref="A1"/>
    </sheetView>
  </sheetViews>
  <sheetFormatPr baseColWidth="8" defaultRowHeight="15"/>
  <cols>
    <col width="52" customWidth="1" min="1" max="1"/>
    <col width="14" customWidth="1" min="2" max="2"/>
    <col width="26" customWidth="1" min="3" max="3"/>
    <col width="46" customWidth="1" min="4" max="4"/>
  </cols>
  <sheetData>
    <row r="1">
      <c r="A1" s="1" t="inlineStr">
        <is>
          <t>Every figure in the article</t>
        </is>
      </c>
    </row>
    <row r="2" ht="30" customHeight="1">
      <c r="A2" s="2" t="inlineStr">
        <is>
          <t>51 measured figures, each with the sheet that computes it. Green = reproduced exactly from the data when this file was built.</t>
        </is>
      </c>
    </row>
    <row r="4" ht="30" customHeight="1">
      <c r="A4" s="6" t="inlineStr">
        <is>
          <t>Figure as printed in the article</t>
        </is>
      </c>
      <c r="B4" s="6" t="inlineStr">
        <is>
          <t>Value</t>
        </is>
      </c>
      <c r="C4" s="6" t="inlineStr">
        <is>
          <t>Computed on</t>
        </is>
      </c>
      <c r="D4" s="6" t="inlineStr">
        <is>
          <t>Note</t>
        </is>
      </c>
    </row>
    <row r="5">
      <c r="A5" s="7" t="inlineStr">
        <is>
          <t>ASX 200 — typical fall</t>
        </is>
      </c>
      <c r="B5" s="8" t="n">
        <v>-21.7</v>
      </c>
      <c r="C5" s="9" t="inlineStr">
        <is>
          <t>2 · Headline</t>
        </is>
      </c>
      <c r="D5" s="10" t="inlineStr">
        <is>
          <t>Median of 201 members</t>
        </is>
      </c>
    </row>
    <row r="6">
      <c r="A6" s="11" t="inlineStr">
        <is>
          <t>S&amp;P 500 — typical fall</t>
        </is>
      </c>
      <c r="B6" s="12" t="n">
        <v>-18.9</v>
      </c>
      <c r="C6" s="13" t="inlineStr">
        <is>
          <t>2 · Headline</t>
        </is>
      </c>
      <c r="D6" s="14" t="inlineStr">
        <is>
          <t>Median of 500 members</t>
        </is>
      </c>
    </row>
    <row r="7">
      <c r="A7" s="7" t="inlineStr">
        <is>
          <t>S&amp;P/TSX 60 — typical fall</t>
        </is>
      </c>
      <c r="B7" s="8" t="n">
        <v>-15.8</v>
      </c>
      <c r="C7" s="9" t="inlineStr">
        <is>
          <t>2 · Headline</t>
        </is>
      </c>
      <c r="D7" s="10" t="inlineStr">
        <is>
          <t>Median of 60 members</t>
        </is>
      </c>
    </row>
    <row r="8">
      <c r="A8" s="11" t="inlineStr">
        <is>
          <t>ASX 200, largest 60 only</t>
        </is>
      </c>
      <c r="B8" s="12" t="n">
        <v>-18.4</v>
      </c>
      <c r="C8" s="13" t="inlineStr">
        <is>
          <t>3 · Size-matched</t>
        </is>
      </c>
      <c r="D8" s="14" t="inlineStr">
        <is>
          <t>The reversal the article turns on</t>
        </is>
      </c>
    </row>
    <row r="9">
      <c r="A9" s="7" t="inlineStr">
        <is>
          <t>S&amp;P 500, largest 60 only</t>
        </is>
      </c>
      <c r="B9" s="8" t="n">
        <v>-19</v>
      </c>
      <c r="C9" s="9" t="inlineStr">
        <is>
          <t>3 · Size-matched</t>
        </is>
      </c>
      <c r="D9" s="10" t="inlineStr"/>
    </row>
    <row r="10">
      <c r="A10" s="11" t="inlineStr">
        <is>
          <t>S&amp;P/TSX 60, largest 60 only</t>
        </is>
      </c>
      <c r="B10" s="12" t="n">
        <v>-15.8</v>
      </c>
      <c r="C10" s="13" t="inlineStr">
        <is>
          <t>3 · Size-matched</t>
        </is>
      </c>
      <c r="D10" s="14" t="inlineStr">
        <is>
          <t>Unchanged — the index IS its 60</t>
        </is>
      </c>
    </row>
    <row r="11">
      <c r="A11" s="7" t="inlineStr">
        <is>
          <t>Real Estate — ASX 200</t>
        </is>
      </c>
      <c r="B11" s="8" t="n">
        <v>-16</v>
      </c>
      <c r="C11" s="9" t="inlineStr">
        <is>
          <t>4 · By sector</t>
        </is>
      </c>
      <c r="D11" s="10" t="inlineStr"/>
    </row>
    <row r="12">
      <c r="A12" s="11" t="inlineStr">
        <is>
          <t>Real Estate — S&amp;P 500</t>
        </is>
      </c>
      <c r="B12" s="12" t="n">
        <v>-17.4</v>
      </c>
      <c r="C12" s="13" t="inlineStr">
        <is>
          <t>4 · By sector</t>
        </is>
      </c>
      <c r="D12" s="14" t="inlineStr"/>
    </row>
    <row r="13">
      <c r="A13" s="7" t="inlineStr">
        <is>
          <t>Real Estate — S&amp;P/TSX 60</t>
        </is>
      </c>
      <c r="B13" s="15" t="inlineStr">
        <is>
          <t>—</t>
        </is>
      </c>
      <c r="C13" s="9" t="inlineStr">
        <is>
          <t>4 · By sector</t>
        </is>
      </c>
      <c r="D13" s="10" t="inlineStr">
        <is>
          <t>Printed as '—': only 1 companies, too few for a median</t>
        </is>
      </c>
    </row>
    <row r="14">
      <c r="A14" s="11" t="inlineStr">
        <is>
          <t>Financial Services — ASX 200</t>
        </is>
      </c>
      <c r="B14" s="12" t="n">
        <v>-18.5</v>
      </c>
      <c r="C14" s="13" t="inlineStr">
        <is>
          <t>4 · By sector</t>
        </is>
      </c>
      <c r="D14" s="14" t="inlineStr"/>
    </row>
    <row r="15">
      <c r="A15" s="7" t="inlineStr">
        <is>
          <t>Financial Services — S&amp;P 500</t>
        </is>
      </c>
      <c r="B15" s="8" t="n">
        <v>-18.4</v>
      </c>
      <c r="C15" s="9" t="inlineStr">
        <is>
          <t>4 · By sector</t>
        </is>
      </c>
      <c r="D15" s="10" t="inlineStr"/>
    </row>
    <row r="16">
      <c r="A16" s="11" t="inlineStr">
        <is>
          <t>Financial Services — S&amp;P/TSX 60</t>
        </is>
      </c>
      <c r="B16" s="12" t="n">
        <v>-14.6</v>
      </c>
      <c r="C16" s="13" t="inlineStr">
        <is>
          <t>4 · By sector</t>
        </is>
      </c>
      <c r="D16" s="14" t="inlineStr"/>
    </row>
    <row r="17">
      <c r="A17" s="7" t="inlineStr">
        <is>
          <t>Healthcare — ASX 200</t>
        </is>
      </c>
      <c r="B17" s="8" t="n">
        <v>-19.1</v>
      </c>
      <c r="C17" s="9" t="inlineStr">
        <is>
          <t>4 · By sector</t>
        </is>
      </c>
      <c r="D17" s="10" t="inlineStr"/>
    </row>
    <row r="18">
      <c r="A18" s="11" t="inlineStr">
        <is>
          <t>Healthcare — S&amp;P 500</t>
        </is>
      </c>
      <c r="B18" s="12" t="n">
        <v>-18.5</v>
      </c>
      <c r="C18" s="13" t="inlineStr">
        <is>
          <t>4 · By sector</t>
        </is>
      </c>
      <c r="D18" s="14" t="inlineStr"/>
    </row>
    <row r="19">
      <c r="A19" s="7" t="inlineStr">
        <is>
          <t>Healthcare — S&amp;P/TSX 60</t>
        </is>
      </c>
      <c r="B19" s="15" t="inlineStr">
        <is>
          <t>—</t>
        </is>
      </c>
      <c r="C19" s="9" t="inlineStr">
        <is>
          <t>4 · By sector</t>
        </is>
      </c>
      <c r="D19" s="10" t="inlineStr">
        <is>
          <t>Printed as '—': only 0 companies, too few for a median</t>
        </is>
      </c>
    </row>
    <row r="20">
      <c r="A20" s="11" t="inlineStr">
        <is>
          <t>Consumer Cyclical — ASX 200</t>
        </is>
      </c>
      <c r="B20" s="12" t="n">
        <v>-19.7</v>
      </c>
      <c r="C20" s="13" t="inlineStr">
        <is>
          <t>4 · By sector</t>
        </is>
      </c>
      <c r="D20" s="14" t="inlineStr"/>
    </row>
    <row r="21">
      <c r="A21" s="7" t="inlineStr">
        <is>
          <t>Consumer Cyclical — S&amp;P 500</t>
        </is>
      </c>
      <c r="B21" s="8" t="n">
        <v>-21.7</v>
      </c>
      <c r="C21" s="9" t="inlineStr">
        <is>
          <t>4 · By sector</t>
        </is>
      </c>
      <c r="D21" s="10" t="inlineStr"/>
    </row>
    <row r="22">
      <c r="A22" s="11" t="inlineStr">
        <is>
          <t>Consumer Cyclical — S&amp;P/TSX 60</t>
        </is>
      </c>
      <c r="B22" s="12" t="n">
        <v>-16.3</v>
      </c>
      <c r="C22" s="13" t="inlineStr">
        <is>
          <t>4 · By sector</t>
        </is>
      </c>
      <c r="D22" s="14" t="inlineStr"/>
    </row>
    <row r="23">
      <c r="A23" s="7" t="inlineStr">
        <is>
          <t>Consumer Defensive — ASX 200</t>
        </is>
      </c>
      <c r="B23" s="8" t="n">
        <v>-20.4</v>
      </c>
      <c r="C23" s="9" t="inlineStr">
        <is>
          <t>4 · By sector</t>
        </is>
      </c>
      <c r="D23" s="10" t="inlineStr"/>
    </row>
    <row r="24">
      <c r="A24" s="11" t="inlineStr">
        <is>
          <t>Consumer Defensive — S&amp;P 500</t>
        </is>
      </c>
      <c r="B24" s="12" t="n">
        <v>-15</v>
      </c>
      <c r="C24" s="13" t="inlineStr">
        <is>
          <t>4 · By sector</t>
        </is>
      </c>
      <c r="D24" s="14" t="inlineStr"/>
    </row>
    <row r="25">
      <c r="A25" s="7" t="inlineStr">
        <is>
          <t>Consumer Defensive — S&amp;P/TSX 60</t>
        </is>
      </c>
      <c r="B25" s="8" t="n">
        <v>-13.4</v>
      </c>
      <c r="C25" s="9" t="inlineStr">
        <is>
          <t>4 · By sector</t>
        </is>
      </c>
      <c r="D25" s="10" t="inlineStr"/>
    </row>
    <row r="26">
      <c r="A26" s="11" t="inlineStr">
        <is>
          <t>Industrials — ASX 200</t>
        </is>
      </c>
      <c r="B26" s="12" t="n">
        <v>-21.7</v>
      </c>
      <c r="C26" s="13" t="inlineStr">
        <is>
          <t>4 · By sector</t>
        </is>
      </c>
      <c r="D26" s="14" t="inlineStr"/>
    </row>
    <row r="27">
      <c r="A27" s="7" t="inlineStr">
        <is>
          <t>Industrials — S&amp;P 500</t>
        </is>
      </c>
      <c r="B27" s="8" t="n">
        <v>-17.8</v>
      </c>
      <c r="C27" s="9" t="inlineStr">
        <is>
          <t>4 · By sector</t>
        </is>
      </c>
      <c r="D27" s="10" t="inlineStr"/>
    </row>
    <row r="28">
      <c r="A28" s="11" t="inlineStr">
        <is>
          <t>Industrials — S&amp;P/TSX 60</t>
        </is>
      </c>
      <c r="B28" s="12" t="n">
        <v>-14.2</v>
      </c>
      <c r="C28" s="13" t="inlineStr">
        <is>
          <t>4 · By sector</t>
        </is>
      </c>
      <c r="D28" s="14" t="inlineStr"/>
    </row>
    <row r="29">
      <c r="A29" s="7" t="inlineStr">
        <is>
          <t>Technology — ASX 200</t>
        </is>
      </c>
      <c r="B29" s="8" t="n">
        <v>-24.6</v>
      </c>
      <c r="C29" s="9" t="inlineStr">
        <is>
          <t>4 · By sector</t>
        </is>
      </c>
      <c r="D29" s="10" t="inlineStr"/>
    </row>
    <row r="30">
      <c r="A30" s="11" t="inlineStr">
        <is>
          <t>Technology — S&amp;P 500</t>
        </is>
      </c>
      <c r="B30" s="12" t="n">
        <v>-22.1</v>
      </c>
      <c r="C30" s="13" t="inlineStr">
        <is>
          <t>4 · By sector</t>
        </is>
      </c>
      <c r="D30" s="14" t="inlineStr"/>
    </row>
    <row r="31">
      <c r="A31" s="7" t="inlineStr">
        <is>
          <t>Technology — S&amp;P/TSX 60</t>
        </is>
      </c>
      <c r="B31" s="8" t="n">
        <v>-23</v>
      </c>
      <c r="C31" s="9" t="inlineStr">
        <is>
          <t>4 · By sector</t>
        </is>
      </c>
      <c r="D31" s="10" t="inlineStr"/>
    </row>
    <row r="32">
      <c r="A32" s="11" t="inlineStr">
        <is>
          <t>Energy — ASX 200</t>
        </is>
      </c>
      <c r="B32" s="12" t="n">
        <v>-25.5</v>
      </c>
      <c r="C32" s="13" t="inlineStr">
        <is>
          <t>4 · By sector</t>
        </is>
      </c>
      <c r="D32" s="14" t="inlineStr"/>
    </row>
    <row r="33">
      <c r="A33" s="7" t="inlineStr">
        <is>
          <t>Energy — S&amp;P 500</t>
        </is>
      </c>
      <c r="B33" s="8" t="n">
        <v>-21.3</v>
      </c>
      <c r="C33" s="9" t="inlineStr">
        <is>
          <t>4 · By sector</t>
        </is>
      </c>
      <c r="D33" s="10" t="inlineStr"/>
    </row>
    <row r="34">
      <c r="A34" s="11" t="inlineStr">
        <is>
          <t>Energy — S&amp;P/TSX 60</t>
        </is>
      </c>
      <c r="B34" s="12" t="n">
        <v>-19.2</v>
      </c>
      <c r="C34" s="13" t="inlineStr">
        <is>
          <t>4 · By sector</t>
        </is>
      </c>
      <c r="D34" s="14" t="inlineStr"/>
    </row>
    <row r="35">
      <c r="A35" s="7" t="inlineStr">
        <is>
          <t>Basic Materials — ASX 200</t>
        </is>
      </c>
      <c r="B35" s="8" t="n">
        <v>-30.7</v>
      </c>
      <c r="C35" s="9" t="inlineStr">
        <is>
          <t>4 · By sector</t>
        </is>
      </c>
      <c r="D35" s="10" t="inlineStr"/>
    </row>
    <row r="36">
      <c r="A36" s="11" t="inlineStr">
        <is>
          <t>Basic Materials — S&amp;P 500</t>
        </is>
      </c>
      <c r="B36" s="12" t="n">
        <v>-19.7</v>
      </c>
      <c r="C36" s="13" t="inlineStr">
        <is>
          <t>4 · By sector</t>
        </is>
      </c>
      <c r="D36" s="14" t="inlineStr"/>
    </row>
    <row r="37">
      <c r="A37" s="7" t="inlineStr">
        <is>
          <t>Basic Materials — S&amp;P/TSX 60</t>
        </is>
      </c>
      <c r="B37" s="8" t="n">
        <v>-23.8</v>
      </c>
      <c r="C37" s="9" t="inlineStr">
        <is>
          <t>4 · By sector</t>
        </is>
      </c>
      <c r="D37" s="10" t="inlineStr"/>
    </row>
    <row r="38">
      <c r="A38" s="11" t="inlineStr">
        <is>
          <t>Commonwealth Bank of Australia — typical fall</t>
        </is>
      </c>
      <c r="B38" s="12" t="n">
        <v>-14.3</v>
      </c>
      <c r="C38" s="13" t="inlineStr">
        <is>
          <t>5 · Banks vs miners</t>
        </is>
      </c>
      <c r="D38" s="14" t="inlineStr">
        <is>
          <t>CBA.AX</t>
        </is>
      </c>
    </row>
    <row r="39">
      <c r="A39" s="7" t="inlineStr">
        <is>
          <t>Westpac Banking Corporation — typical fall</t>
        </is>
      </c>
      <c r="B39" s="8" t="n">
        <v>-14.8</v>
      </c>
      <c r="C39" s="9" t="inlineStr">
        <is>
          <t>5 · Banks vs miners</t>
        </is>
      </c>
      <c r="D39" s="10" t="inlineStr">
        <is>
          <t>WBC.AX</t>
        </is>
      </c>
    </row>
    <row r="40">
      <c r="A40" s="11" t="inlineStr">
        <is>
          <t>ANZ Group Holdings Limited — typical fall</t>
        </is>
      </c>
      <c r="B40" s="12" t="n">
        <v>-15.5</v>
      </c>
      <c r="C40" s="13" t="inlineStr">
        <is>
          <t>5 · Banks vs miners</t>
        </is>
      </c>
      <c r="D40" s="14" t="inlineStr">
        <is>
          <t>ANZ.AX</t>
        </is>
      </c>
    </row>
    <row r="41">
      <c r="A41" s="7" t="inlineStr">
        <is>
          <t>National Australia Bank Limited — typical fall</t>
        </is>
      </c>
      <c r="B41" s="8" t="n">
        <v>-15.6</v>
      </c>
      <c r="C41" s="9" t="inlineStr">
        <is>
          <t>5 · Banks vs miners</t>
        </is>
      </c>
      <c r="D41" s="10" t="inlineStr">
        <is>
          <t>NAB.AX</t>
        </is>
      </c>
    </row>
    <row r="42">
      <c r="A42" s="11" t="inlineStr">
        <is>
          <t>Bendigo and Adelaide Bank Limited — typical fall</t>
        </is>
      </c>
      <c r="B42" s="12" t="n">
        <v>-16.9</v>
      </c>
      <c r="C42" s="13" t="inlineStr">
        <is>
          <t>5 · Banks vs miners</t>
        </is>
      </c>
      <c r="D42" s="14" t="inlineStr">
        <is>
          <t>BEN.AX</t>
        </is>
      </c>
    </row>
    <row r="43">
      <c r="A43" s="7" t="inlineStr">
        <is>
          <t>Bank of Queensland Limited — typical fall</t>
        </is>
      </c>
      <c r="B43" s="8" t="n">
        <v>-18.5</v>
      </c>
      <c r="C43" s="9" t="inlineStr">
        <is>
          <t>5 · Banks vs miners</t>
        </is>
      </c>
      <c r="D43" s="10" t="inlineStr">
        <is>
          <t>BOQ.AX</t>
        </is>
      </c>
    </row>
    <row r="44">
      <c r="A44" s="11" t="inlineStr">
        <is>
          <t>Macquarie Group Limited — typical fall</t>
        </is>
      </c>
      <c r="B44" s="12" t="n">
        <v>-19</v>
      </c>
      <c r="C44" s="13" t="inlineStr">
        <is>
          <t>5 · Banks vs miners</t>
        </is>
      </c>
      <c r="D44" s="14" t="inlineStr">
        <is>
          <t>MQG.AX</t>
        </is>
      </c>
    </row>
    <row r="45">
      <c r="A45" s="7" t="inlineStr">
        <is>
          <t>BHP Group Limited — typical fall</t>
        </is>
      </c>
      <c r="B45" s="8" t="n">
        <v>-16.9</v>
      </c>
      <c r="C45" s="9" t="inlineStr">
        <is>
          <t>5 · Banks vs miners</t>
        </is>
      </c>
      <c r="D45" s="10" t="inlineStr">
        <is>
          <t>BHP.AX</t>
        </is>
      </c>
    </row>
    <row r="46">
      <c r="A46" s="11" t="inlineStr">
        <is>
          <t>Rio Tinto Group — typical fall</t>
        </is>
      </c>
      <c r="B46" s="12" t="n">
        <v>-17</v>
      </c>
      <c r="C46" s="13" t="inlineStr">
        <is>
          <t>5 · Banks vs miners</t>
        </is>
      </c>
      <c r="D46" s="14" t="inlineStr">
        <is>
          <t>RIO.AX</t>
        </is>
      </c>
    </row>
    <row r="47">
      <c r="A47" s="7" t="inlineStr">
        <is>
          <t>South32 Limited — typical fall</t>
        </is>
      </c>
      <c r="B47" s="8" t="n">
        <v>-23.4</v>
      </c>
      <c r="C47" s="9" t="inlineStr">
        <is>
          <t>5 · Banks vs miners</t>
        </is>
      </c>
      <c r="D47" s="10" t="inlineStr">
        <is>
          <t>S32.AX</t>
        </is>
      </c>
    </row>
    <row r="48">
      <c r="A48" s="11" t="inlineStr">
        <is>
          <t>Mineral Resources Limited — typical fall</t>
        </is>
      </c>
      <c r="B48" s="12" t="n">
        <v>-25.6</v>
      </c>
      <c r="C48" s="13" t="inlineStr">
        <is>
          <t>5 · Banks vs miners</t>
        </is>
      </c>
      <c r="D48" s="14" t="inlineStr">
        <is>
          <t>MIN.AX</t>
        </is>
      </c>
    </row>
    <row r="49">
      <c r="A49" s="7" t="inlineStr">
        <is>
          <t>Northern Star Resources Limited — typical fall</t>
        </is>
      </c>
      <c r="B49" s="8" t="n">
        <v>-27</v>
      </c>
      <c r="C49" s="9" t="inlineStr">
        <is>
          <t>5 · Banks vs miners</t>
        </is>
      </c>
      <c r="D49" s="10" t="inlineStr">
        <is>
          <t>NST.AX</t>
        </is>
      </c>
    </row>
    <row r="50">
      <c r="A50" s="11" t="inlineStr">
        <is>
          <t>Fortescue Ltd — typical fall</t>
        </is>
      </c>
      <c r="B50" s="12" t="n">
        <v>-27.8</v>
      </c>
      <c r="C50" s="13" t="inlineStr">
        <is>
          <t>5 · Banks vs miners</t>
        </is>
      </c>
      <c r="D50" s="14" t="inlineStr">
        <is>
          <t>FMG.AX</t>
        </is>
      </c>
    </row>
    <row r="51">
      <c r="A51" s="7" t="inlineStr">
        <is>
          <t>IGO Limited — typical fall</t>
        </is>
      </c>
      <c r="B51" s="8" t="n">
        <v>-28.4</v>
      </c>
      <c r="C51" s="9" t="inlineStr">
        <is>
          <t>5 · Banks vs miners</t>
        </is>
      </c>
      <c r="D51" s="10" t="inlineStr">
        <is>
          <t>IGO.AX</t>
        </is>
      </c>
    </row>
    <row r="52">
      <c r="A52" s="11" t="inlineStr">
        <is>
          <t>Banks median (NAB)</t>
        </is>
      </c>
      <c r="B52" s="12" t="n">
        <v>-15.6</v>
      </c>
      <c r="C52" s="13" t="inlineStr">
        <is>
          <t>5 · Banks vs miners</t>
        </is>
      </c>
      <c r="D52" s="14" t="inlineStr">
        <is>
          <t>Middle of the seven banks</t>
        </is>
      </c>
    </row>
    <row r="53">
      <c r="A53" s="7" t="inlineStr">
        <is>
          <t>Miners median (Mineral Resources)</t>
        </is>
      </c>
      <c r="B53" s="8" t="n">
        <v>-25.6</v>
      </c>
      <c r="C53" s="9" t="inlineStr">
        <is>
          <t>5 · Banks vs miners</t>
        </is>
      </c>
      <c r="D53" s="10" t="inlineStr">
        <is>
          <t>Middle of the seven miners</t>
        </is>
      </c>
    </row>
    <row r="54">
      <c r="A54" s="11" t="inlineStr">
        <is>
          <t>A mining fall is ~1.6× a banking one</t>
        </is>
      </c>
      <c r="B54" s="16" t="n">
        <v>1.6</v>
      </c>
      <c r="C54" s="13" t="inlineStr">
        <is>
          <t>5 · Banks vs miners</t>
        </is>
      </c>
      <c r="D54" s="14" t="inlineStr">
        <is>
          <t>Ratio of the two medians</t>
        </is>
      </c>
    </row>
    <row r="55">
      <c r="A55" s="7" t="inlineStr">
        <is>
          <t>Mining is a quarter of the ASX 200</t>
        </is>
      </c>
      <c r="B55" s="15" t="n">
        <v>50</v>
      </c>
      <c r="C55" s="9" t="inlineStr">
        <is>
          <t>6 · Company data</t>
        </is>
      </c>
      <c r="D55" s="10" t="inlineStr">
        <is>
          <t>50 of 201 companies</t>
        </is>
      </c>
    </row>
    <row r="56">
      <c r="A56" s="11" t="inlineStr">
        <is>
          <t>761 companies studied</t>
        </is>
      </c>
      <c r="B56" s="17" t="n">
        <v>761</v>
      </c>
      <c r="C56" s="13" t="inlineStr">
        <is>
          <t>6 · Company data</t>
        </is>
      </c>
      <c r="D56" s="14" t="inlineStr">
        <is>
          <t>Index members with a complete result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16" customWidth="1" min="2" max="2"/>
    <col width="12" customWidth="1" min="3" max="3"/>
    <col width="62" customWidth="1" min="4" max="4"/>
  </cols>
  <sheetData>
    <row r="1">
      <c r="A1" s="1" t="inlineStr">
        <is>
          <t>The headline number</t>
        </is>
      </c>
    </row>
    <row r="2" ht="30" customHeight="1">
      <c r="A2" s="2" t="inlineStr">
        <is>
          <t>The middle company of each index. Read plainly this says Australian shares fall harder — sheet 3 is why that is the wrong conclusion.</t>
        </is>
      </c>
    </row>
    <row r="4" ht="30" customHeight="1">
      <c r="A4" s="6" t="inlineStr">
        <is>
          <t>Index</t>
        </is>
      </c>
      <c r="B4" s="6" t="inlineStr">
        <is>
          <t>Typical fall</t>
        </is>
      </c>
      <c r="C4" s="6" t="inlineStr">
        <is>
          <t>Companies</t>
        </is>
      </c>
      <c r="D4" s="6" t="inlineStr">
        <is>
          <t>The formula, in words</t>
        </is>
      </c>
    </row>
    <row r="5">
      <c r="A5" s="18" t="inlineStr">
        <is>
          <t>ASX 200</t>
        </is>
      </c>
      <c r="B5" s="19">
        <f>MEDIAN('6 · Company data'!$O$5:$O$205)</f>
        <v/>
      </c>
      <c r="C5" s="20">
        <f>COUNT('6 · Company data'!$O$5:$O$205)</f>
        <v/>
      </c>
      <c r="D5" s="10" t="inlineStr">
        <is>
          <t>The middle value of the 201 typical falls in that block of sheet 6</t>
        </is>
      </c>
    </row>
    <row r="6">
      <c r="A6" s="18" t="inlineStr">
        <is>
          <t>S&amp;P 500</t>
        </is>
      </c>
      <c r="B6" s="19">
        <f>MEDIAN('6 · Company data'!$O$206:$O$705)</f>
        <v/>
      </c>
      <c r="C6" s="20">
        <f>COUNT('6 · Company data'!$O$206:$O$705)</f>
        <v/>
      </c>
      <c r="D6" s="10" t="inlineStr">
        <is>
          <t>The middle value of the 500 typical falls in that block of sheet 6</t>
        </is>
      </c>
    </row>
    <row r="7">
      <c r="A7" s="18" t="inlineStr">
        <is>
          <t>S&amp;P/TSX 60</t>
        </is>
      </c>
      <c r="B7" s="19">
        <f>MEDIAN('6 · Company data'!$O$706:$O$765)</f>
        <v/>
      </c>
      <c r="C7" s="20">
        <f>COUNT('6 · Company data'!$O$706:$O$765)</f>
        <v/>
      </c>
      <c r="D7" s="10" t="inlineStr">
        <is>
          <t>The middle value of the 60 typical falls in that block of sheet 6</t>
        </is>
      </c>
    </row>
    <row r="9">
      <c r="A9" s="3" t="inlineStr">
        <is>
          <t>Why a median, not an average?</t>
        </is>
      </c>
    </row>
    <row r="10">
      <c r="A10" s="21" t="inlineStr">
        <is>
          <t>A handful of very volatile companies would drag an average and misdescribe the typical member. The median is the middle company: half fall less than this, half fall more.</t>
        </is>
      </c>
    </row>
    <row r="11"/>
  </sheetData>
  <mergeCells count="1">
    <mergeCell ref="A10: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0" customWidth="1" min="1" max="1"/>
    <col width="18" customWidth="1" min="2" max="2"/>
    <col width="18" customWidth="1" min="3" max="3"/>
    <col width="14" customWidth="1" min="4" max="4"/>
    <col width="54" customWidth="1" min="5" max="5"/>
  </cols>
  <sheetData>
    <row r="1">
      <c r="A1" s="1" t="inlineStr">
        <is>
          <t>Comparing like with like — the largest 60 in each index</t>
        </is>
      </c>
    </row>
    <row r="2" ht="30" customHeight="1">
      <c r="A2" s="2" t="inlineStr">
        <is>
          <t>The TSX 60 holds sixty companies; the ASX 200 holds two hundred, reaching much further into mid-sized businesses, and smaller companies fall harder everywhere. So: the largest 60 of each.</t>
        </is>
      </c>
    </row>
    <row r="4" ht="30" customHeight="1">
      <c r="A4" s="6" t="inlineStr">
        <is>
          <t>Index</t>
        </is>
      </c>
      <c r="B4" s="6" t="inlineStr">
        <is>
          <t>All members</t>
        </is>
      </c>
      <c r="C4" s="6" t="inlineStr">
        <is>
          <t>Largest 60 only</t>
        </is>
      </c>
      <c r="D4" s="6" t="inlineStr">
        <is>
          <t>Difference</t>
        </is>
      </c>
      <c r="E4" s="6" t="inlineStr">
        <is>
          <t>The formula, in words</t>
        </is>
      </c>
    </row>
    <row r="5" ht="30" customHeight="1">
      <c r="A5" s="18" t="inlineStr">
        <is>
          <t>ASX 200</t>
        </is>
      </c>
      <c r="B5" s="22">
        <f>MEDIAN('6 · Company data'!$O$5:$O$205)</f>
        <v/>
      </c>
      <c r="C5" s="19">
        <f>MEDIAN('6 · Company data'!$S$5:$S$205)</f>
        <v/>
      </c>
      <c r="D5" s="23">
        <f>C5-B5</f>
        <v/>
      </c>
      <c r="E5" s="24" t="inlineStr">
        <is>
          <t>Column S on sheet 6 holds the typical fall ONLY for companies ranked 1–60 by market cap in their own index; blanks are ignored by MEDIAN.</t>
        </is>
      </c>
    </row>
    <row r="6" ht="30" customHeight="1">
      <c r="A6" s="18" t="inlineStr">
        <is>
          <t>S&amp;P 500</t>
        </is>
      </c>
      <c r="B6" s="22">
        <f>MEDIAN('6 · Company data'!$O$206:$O$705)</f>
        <v/>
      </c>
      <c r="C6" s="19">
        <f>MEDIAN('6 · Company data'!$S$206:$S$705)</f>
        <v/>
      </c>
      <c r="D6" s="23">
        <f>C6-B6</f>
        <v/>
      </c>
      <c r="E6" s="24" t="inlineStr"/>
    </row>
    <row r="7" ht="30" customHeight="1">
      <c r="A7" s="18" t="inlineStr">
        <is>
          <t>S&amp;P/TSX 60</t>
        </is>
      </c>
      <c r="B7" s="22">
        <f>MEDIAN('6 · Company data'!$O$706:$O$765)</f>
        <v/>
      </c>
      <c r="C7" s="19">
        <f>MEDIAN('6 · Company data'!$S$706:$S$765)</f>
        <v/>
      </c>
      <c r="D7" s="23">
        <f>C7-B7</f>
        <v/>
      </c>
      <c r="E7" s="24" t="inlineStr">
        <is>
          <t>Unchanged — the index is only 60 companies</t>
        </is>
      </c>
    </row>
    <row r="9">
      <c r="A9" s="25" t="inlineStr">
        <is>
          <t>The gap does not narrow — it reverses.</t>
        </is>
      </c>
    </row>
    <row r="10">
      <c r="A10" s="21" t="inlineStr">
        <is>
          <t>Australia's sixty biggest listed companies have fallen slightly LESS than America's sixty biggest. The difference in the headline was never about Australia; it was about what the ASX 200 holds.</t>
        </is>
      </c>
    </row>
    <row r="11"/>
  </sheetData>
  <mergeCells count="1">
    <mergeCell ref="A10:E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13" customWidth="1" min="2" max="2"/>
    <col width="9" customWidth="1" min="3" max="3"/>
    <col width="13" customWidth="1" min="4" max="4"/>
    <col width="9" customWidth="1" min="5" max="5"/>
    <col width="13" customWidth="1" min="6" max="6"/>
    <col width="9" customWidth="1" min="7" max="7"/>
    <col width="40" customWidth="1" min="8" max="8"/>
  </cols>
  <sheetData>
    <row r="1">
      <c r="A1" s="1" t="inlineStr">
        <is>
          <t>Typical fall by sector</t>
        </is>
      </c>
    </row>
    <row r="2" ht="30" customHeight="1">
      <c r="A2" s="2" t="inlineStr">
        <is>
          <t>Sectors are ordered shallowest to deepest by the ASX column. A dash means that index holds fewer than five companies in the sector — too few for a median worth printing.</t>
        </is>
      </c>
    </row>
    <row r="4" ht="30" customHeight="1">
      <c r="A4" s="6" t="inlineStr">
        <is>
          <t>Sector</t>
        </is>
      </c>
      <c r="B4" s="6" t="inlineStr">
        <is>
          <t>ASX 200</t>
        </is>
      </c>
      <c r="C4" s="6" t="inlineStr">
        <is>
          <t>n</t>
        </is>
      </c>
      <c r="D4" s="6" t="inlineStr">
        <is>
          <t>S&amp;P 500</t>
        </is>
      </c>
      <c r="E4" s="6" t="inlineStr">
        <is>
          <t>n</t>
        </is>
      </c>
      <c r="F4" s="6" t="inlineStr">
        <is>
          <t>S&amp;P/TSX 60</t>
        </is>
      </c>
      <c r="G4" s="6" t="inlineStr">
        <is>
          <t>n</t>
        </is>
      </c>
      <c r="H4" s="6" t="inlineStr">
        <is>
          <t>Note</t>
        </is>
      </c>
    </row>
    <row r="5">
      <c r="A5" s="5" t="inlineStr">
        <is>
          <t>Real Estate</t>
        </is>
      </c>
      <c r="B5" s="26">
        <f>MEDIAN('6 · Company data'!$O$171:$O$189)</f>
        <v/>
      </c>
      <c r="C5" s="27">
        <f>COUNT('6 · Company data'!$O$171:$O$189)</f>
        <v/>
      </c>
      <c r="D5" s="26">
        <f>MEDIAN('6 · Company data'!$O$563:$O$591)</f>
        <v/>
      </c>
      <c r="E5" s="27">
        <f>COUNT('6 · Company data'!$O$563:$O$591)</f>
        <v/>
      </c>
      <c r="F5" s="28" t="inlineStr">
        <is>
          <t>—</t>
        </is>
      </c>
      <c r="G5" s="27">
        <f>COUNT('6 · Company data'!$O$756:$O$756)</f>
        <v/>
      </c>
    </row>
    <row r="6">
      <c r="A6" s="5" t="inlineStr">
        <is>
          <t>Financial Services</t>
        </is>
      </c>
      <c r="B6" s="26">
        <f>MEDIAN('6 · Company data'!$O$109:$O$136)</f>
        <v/>
      </c>
      <c r="C6" s="27">
        <f>COUNT('6 · Company data'!$O$109:$O$136)</f>
        <v/>
      </c>
      <c r="D6" s="26">
        <f>MEDIAN('6 · Company data'!$O$360:$O$429)</f>
        <v/>
      </c>
      <c r="E6" s="27">
        <f>COUNT('6 · Company data'!$O$360:$O$429)</f>
        <v/>
      </c>
      <c r="F6" s="26">
        <f>MEDIAN('6 · Company data'!$O$737:$O$749)</f>
        <v/>
      </c>
      <c r="G6" s="27">
        <f>COUNT('6 · Company data'!$O$737:$O$749)</f>
        <v/>
      </c>
    </row>
    <row r="7">
      <c r="A7" s="5" t="inlineStr">
        <is>
          <t>Healthcare</t>
        </is>
      </c>
      <c r="B7" s="26">
        <f>MEDIAN('6 · Company data'!$O$137:$O$149)</f>
        <v/>
      </c>
      <c r="C7" s="27">
        <f>COUNT('6 · Company data'!$O$137:$O$149)</f>
        <v/>
      </c>
      <c r="D7" s="26">
        <f>MEDIAN('6 · Company data'!$O$430:$O$488)</f>
        <v/>
      </c>
      <c r="E7" s="27">
        <f>COUNT('6 · Company data'!$O$430:$O$488)</f>
        <v/>
      </c>
      <c r="F7" s="28" t="inlineStr">
        <is>
          <t>—</t>
        </is>
      </c>
      <c r="G7" s="27" t="n">
        <v>0</v>
      </c>
    </row>
    <row r="8">
      <c r="A8" s="5" t="inlineStr">
        <is>
          <t>Consumer Cyclical</t>
        </is>
      </c>
      <c r="B8" s="26">
        <f>MEDIAN('6 · Company data'!$O$68:$O$86)</f>
        <v/>
      </c>
      <c r="C8" s="27">
        <f>COUNT('6 · Company data'!$O$68:$O$86)</f>
        <v/>
      </c>
      <c r="D8" s="26">
        <f>MEDIAN('6 · Company data'!$O$252:$O$305)</f>
        <v/>
      </c>
      <c r="E8" s="27">
        <f>COUNT('6 · Company data'!$O$252:$O$305)</f>
        <v/>
      </c>
      <c r="F8" s="26">
        <f>MEDIAN('6 · Company data'!$O$717:$O$722)</f>
        <v/>
      </c>
      <c r="G8" s="27">
        <f>COUNT('6 · Company data'!$O$717:$O$722)</f>
        <v/>
      </c>
    </row>
    <row r="9">
      <c r="A9" s="5" t="inlineStr">
        <is>
          <t>Consumer Defensive</t>
        </is>
      </c>
      <c r="B9" s="26">
        <f>MEDIAN('6 · Company data'!$O$87:$O$95)</f>
        <v/>
      </c>
      <c r="C9" s="27">
        <f>COUNT('6 · Company data'!$O$87:$O$95)</f>
        <v/>
      </c>
      <c r="D9" s="26">
        <f>MEDIAN('6 · Company data'!$O$306:$O$338)</f>
        <v/>
      </c>
      <c r="E9" s="27">
        <f>COUNT('6 · Company data'!$O$306:$O$338)</f>
        <v/>
      </c>
      <c r="F9" s="26">
        <f>MEDIAN('6 · Company data'!$O$723:$O$727)</f>
        <v/>
      </c>
      <c r="G9" s="27">
        <f>COUNT('6 · Company data'!$O$723:$O$727)</f>
        <v/>
      </c>
    </row>
    <row r="10">
      <c r="A10" s="5" t="inlineStr">
        <is>
          <t>Industrials</t>
        </is>
      </c>
      <c r="B10" s="26">
        <f>MEDIAN('6 · Company data'!$O$150:$O$170)</f>
        <v/>
      </c>
      <c r="C10" s="27">
        <f>COUNT('6 · Company data'!$O$150:$O$170)</f>
        <v/>
      </c>
      <c r="D10" s="26">
        <f>MEDIAN('6 · Company data'!$O$489:$O$562)</f>
        <v/>
      </c>
      <c r="E10" s="27">
        <f>COUNT('6 · Company data'!$O$489:$O$562)</f>
        <v/>
      </c>
      <c r="F10" s="26">
        <f>MEDIAN('6 · Company data'!$O$750:$O$755)</f>
        <v/>
      </c>
      <c r="G10" s="27">
        <f>COUNT('6 · Company data'!$O$750:$O$755)</f>
        <v/>
      </c>
    </row>
    <row r="11">
      <c r="A11" s="5" t="inlineStr">
        <is>
          <t>Technology</t>
        </is>
      </c>
      <c r="B11" s="26">
        <f>MEDIAN('6 · Company data'!$O$190:$O$202)</f>
        <v/>
      </c>
      <c r="C11" s="27">
        <f>COUNT('6 · Company data'!$O$190:$O$202)</f>
        <v/>
      </c>
      <c r="D11" s="26">
        <f>MEDIAN('6 · Company data'!$O$592:$O$674)</f>
        <v/>
      </c>
      <c r="E11" s="27">
        <f>COUNT('6 · Company data'!$O$592:$O$674)</f>
        <v/>
      </c>
      <c r="F11" s="26">
        <f>MEDIAN('6 · Company data'!$O$757:$O$761)</f>
        <v/>
      </c>
      <c r="G11" s="27">
        <f>COUNT('6 · Company data'!$O$757:$O$761)</f>
        <v/>
      </c>
    </row>
    <row r="12">
      <c r="A12" s="5" t="inlineStr">
        <is>
          <t>Energy</t>
        </is>
      </c>
      <c r="B12" s="26">
        <f>MEDIAN('6 · Company data'!$O$96:$O$108)</f>
        <v/>
      </c>
      <c r="C12" s="27">
        <f>COUNT('6 · Company data'!$O$96:$O$108)</f>
        <v/>
      </c>
      <c r="D12" s="26">
        <f>MEDIAN('6 · Company data'!$O$339:$O$359)</f>
        <v/>
      </c>
      <c r="E12" s="27">
        <f>COUNT('6 · Company data'!$O$339:$O$359)</f>
        <v/>
      </c>
      <c r="F12" s="26">
        <f>MEDIAN('6 · Company data'!$O$728:$O$736)</f>
        <v/>
      </c>
      <c r="G12" s="27">
        <f>COUNT('6 · Company data'!$O$728:$O$736)</f>
        <v/>
      </c>
    </row>
    <row r="13">
      <c r="A13" s="29" t="inlineStr">
        <is>
          <t>Basic Materials</t>
        </is>
      </c>
      <c r="B13" s="30">
        <f>MEDIAN('6 · Company data'!$O$6:$O$55)</f>
        <v/>
      </c>
      <c r="C13" s="31">
        <f>COUNT('6 · Company data'!$O$6:$O$55)</f>
        <v/>
      </c>
      <c r="D13" s="30">
        <f>MEDIAN('6 · Company data'!$O$208:$O$227)</f>
        <v/>
      </c>
      <c r="E13" s="31">
        <f>COUNT('6 · Company data'!$O$208:$O$227)</f>
        <v/>
      </c>
      <c r="F13" s="30">
        <f>MEDIAN('6 · Company data'!$O$706:$O$713)</f>
        <v/>
      </c>
      <c r="G13" s="31">
        <f>COUNT('6 · Company data'!$O$706:$O$713)</f>
        <v/>
      </c>
      <c r="H13" s="32" t="inlineStr">
        <is>
          <t>An eleven-point gap — wider than anything else in the table</t>
        </is>
      </c>
    </row>
    <row r="15">
      <c r="A15" s="21" t="inlineStr">
        <is>
          <t>Australian miners fall roughly half as far again as American ones, and mining is a quarter of the ASX 200 — 50 companies out of 201. One sector with a much deeper cycle, dragging the whole index average behind it.</t>
        </is>
      </c>
    </row>
    <row r="16"/>
  </sheetData>
  <mergeCells count="1">
    <mergeCell ref="A15:H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1" customWidth="1" min="1" max="1"/>
    <col width="30" customWidth="1" min="2" max="2"/>
    <col width="15" customWidth="1" min="3" max="3"/>
    <col width="19" customWidth="1" min="4" max="4"/>
    <col width="34" customWidth="1" min="5" max="5"/>
  </cols>
  <sheetData>
    <row r="1">
      <c r="A1" s="1" t="inlineStr">
        <is>
          <t>Banks and miners, side by side</t>
        </is>
      </c>
    </row>
    <row r="2" ht="30" customHeight="1">
      <c r="A2" s="2" t="inlineStr">
        <is>
          <t>The clearest view is inside Australia alone. Seven of each, so both medians are visible on the page and can be checked by eye.</t>
        </is>
      </c>
    </row>
    <row r="4">
      <c r="A4" s="33" t="inlineStr">
        <is>
          <t>The seven banks</t>
        </is>
      </c>
    </row>
    <row r="5" ht="30" customHeight="1">
      <c r="A5" s="6" t="inlineStr">
        <is>
          <t>Ticker</t>
        </is>
      </c>
      <c r="B5" s="6" t="inlineStr">
        <is>
          <t>Company</t>
        </is>
      </c>
      <c r="C5" s="6" t="inlineStr">
        <is>
          <t>Typical fall</t>
        </is>
      </c>
      <c r="D5" s="6" t="inlineStr">
        <is>
          <t>Worst since 2000</t>
        </is>
      </c>
      <c r="E5" s="6" t="inlineStr">
        <is>
          <t>Note</t>
        </is>
      </c>
    </row>
    <row r="6">
      <c r="A6" s="20" t="inlineStr">
        <is>
          <t>CBA.AX</t>
        </is>
      </c>
      <c r="B6" s="7" t="inlineStr">
        <is>
          <t>Commonwealth Bank of Australia</t>
        </is>
      </c>
      <c r="C6" s="34">
        <f>'6 · Company data'!$O$115</f>
        <v/>
      </c>
      <c r="D6" s="34">
        <f>'6 · Company data'!$P$115</f>
        <v/>
      </c>
    </row>
    <row r="7">
      <c r="A7" s="20" t="inlineStr">
        <is>
          <t>WBC.AX</t>
        </is>
      </c>
      <c r="B7" s="7" t="inlineStr">
        <is>
          <t>Westpac Banking Corporation</t>
        </is>
      </c>
      <c r="C7" s="34">
        <f>'6 · Company data'!$O$135</f>
        <v/>
      </c>
      <c r="D7" s="34">
        <f>'6 · Company data'!$P$135</f>
        <v/>
      </c>
    </row>
    <row r="8">
      <c r="A8" s="20" t="inlineStr">
        <is>
          <t>ANZ.AX</t>
        </is>
      </c>
      <c r="B8" s="7" t="inlineStr">
        <is>
          <t>ANZ Group Holdings Limited</t>
        </is>
      </c>
      <c r="C8" s="34">
        <f>'6 · Company data'!$O$110</f>
        <v/>
      </c>
      <c r="D8" s="34">
        <f>'6 · Company data'!$P$110</f>
        <v/>
      </c>
    </row>
    <row r="9">
      <c r="A9" s="20" t="inlineStr">
        <is>
          <t>NAB.AX</t>
        </is>
      </c>
      <c r="B9" s="7" t="inlineStr">
        <is>
          <t>National Australia Bank Limited</t>
        </is>
      </c>
      <c r="C9" s="34">
        <f>'6 · Company data'!$O$127</f>
        <v/>
      </c>
      <c r="D9" s="34">
        <f>'6 · Company data'!$P$127</f>
        <v/>
      </c>
    </row>
    <row r="10">
      <c r="A10" s="20" t="inlineStr">
        <is>
          <t>BEN.AX</t>
        </is>
      </c>
      <c r="B10" s="7" t="inlineStr">
        <is>
          <t>Bendigo and Adelaide Bank Limited</t>
        </is>
      </c>
      <c r="C10" s="34">
        <f>'6 · Company data'!$O$113</f>
        <v/>
      </c>
      <c r="D10" s="34">
        <f>'6 · Company data'!$P$113</f>
        <v/>
      </c>
    </row>
    <row r="11">
      <c r="A11" s="20" t="inlineStr">
        <is>
          <t>BOQ.AX</t>
        </is>
      </c>
      <c r="B11" s="7" t="inlineStr">
        <is>
          <t>Bank of Queensland Limited</t>
        </is>
      </c>
      <c r="C11" s="34">
        <f>'6 · Company data'!$O$114</f>
        <v/>
      </c>
      <c r="D11" s="34">
        <f>'6 · Company data'!$P$114</f>
        <v/>
      </c>
    </row>
    <row r="12">
      <c r="A12" s="20" t="inlineStr">
        <is>
          <t>MQG.AX</t>
        </is>
      </c>
      <c r="B12" s="7" t="inlineStr">
        <is>
          <t>Macquarie Group Limited</t>
        </is>
      </c>
      <c r="C12" s="34">
        <f>'6 · Company data'!$O$126</f>
        <v/>
      </c>
      <c r="D12" s="34">
        <f>'6 · Company data'!$P$126</f>
        <v/>
      </c>
    </row>
    <row r="13">
      <c r="A13" s="35" t="n"/>
      <c r="B13" s="36" t="inlineStr">
        <is>
          <t>Median (the middle company)</t>
        </is>
      </c>
      <c r="C13" s="37">
        <f>MEDIAN(C6:C12)</f>
        <v/>
      </c>
      <c r="D13" s="35" t="n"/>
      <c r="E13" s="14" t="inlineStr">
        <is>
          <t>Middle of the seven values directly above</t>
        </is>
      </c>
    </row>
    <row r="16">
      <c r="A16" s="38" t="inlineStr">
        <is>
          <t>The seven miners</t>
        </is>
      </c>
    </row>
    <row r="17" ht="30" customHeight="1">
      <c r="A17" s="39" t="inlineStr">
        <is>
          <t>Ticker</t>
        </is>
      </c>
      <c r="B17" s="39" t="inlineStr">
        <is>
          <t>Company</t>
        </is>
      </c>
      <c r="C17" s="39" t="inlineStr">
        <is>
          <t>Typical fall</t>
        </is>
      </c>
      <c r="D17" s="39" t="inlineStr">
        <is>
          <t>Worst since 2000</t>
        </is>
      </c>
      <c r="E17" s="39" t="inlineStr">
        <is>
          <t>Note</t>
        </is>
      </c>
    </row>
    <row r="18">
      <c r="A18" s="20" t="inlineStr">
        <is>
          <t>BHP.AX</t>
        </is>
      </c>
      <c r="B18" s="7" t="inlineStr">
        <is>
          <t>BHP Group Limited</t>
        </is>
      </c>
      <c r="C18" s="34">
        <f>'6 · Company data'!$O$9</f>
        <v/>
      </c>
      <c r="D18" s="34">
        <f>'6 · Company data'!$P$9</f>
        <v/>
      </c>
    </row>
    <row r="19">
      <c r="A19" s="20" t="inlineStr">
        <is>
          <t>RIO.AX</t>
        </is>
      </c>
      <c r="B19" s="7" t="inlineStr">
        <is>
          <t>Rio Tinto Group</t>
        </is>
      </c>
      <c r="C19" s="34">
        <f>'6 · Company data'!$O$45</f>
        <v/>
      </c>
      <c r="D19" s="34">
        <f>'6 · Company data'!$P$45</f>
        <v/>
      </c>
    </row>
    <row r="20">
      <c r="A20" s="20" t="inlineStr">
        <is>
          <t>S32.AX</t>
        </is>
      </c>
      <c r="B20" s="7" t="inlineStr">
        <is>
          <t>South32 Limited</t>
        </is>
      </c>
      <c r="C20" s="34">
        <f>'6 · Company data'!$O$49</f>
        <v/>
      </c>
      <c r="D20" s="34">
        <f>'6 · Company data'!$P$49</f>
        <v/>
      </c>
    </row>
    <row r="21">
      <c r="A21" s="20" t="inlineStr">
        <is>
          <t>MIN.AX</t>
        </is>
      </c>
      <c r="B21" s="7" t="inlineStr">
        <is>
          <t>Mineral Resources Limited</t>
        </is>
      </c>
      <c r="C21" s="34">
        <f>'6 · Company data'!$O$34</f>
        <v/>
      </c>
      <c r="D21" s="34">
        <f>'6 · Company data'!$P$34</f>
        <v/>
      </c>
    </row>
    <row r="22">
      <c r="A22" s="20" t="inlineStr">
        <is>
          <t>NST.AX</t>
        </is>
      </c>
      <c r="B22" s="7" t="inlineStr">
        <is>
          <t>Northern Star Resources Limited</t>
        </is>
      </c>
      <c r="C22" s="34">
        <f>'6 · Company data'!$O$37</f>
        <v/>
      </c>
      <c r="D22" s="34">
        <f>'6 · Company data'!$P$37</f>
        <v/>
      </c>
    </row>
    <row r="23">
      <c r="A23" s="20" t="inlineStr">
        <is>
          <t>FMG.AX</t>
        </is>
      </c>
      <c r="B23" s="7" t="inlineStr">
        <is>
          <t>Fortescue Ltd</t>
        </is>
      </c>
      <c r="C23" s="34">
        <f>'6 · Company data'!$O$23</f>
        <v/>
      </c>
      <c r="D23" s="34">
        <f>'6 · Company data'!$P$23</f>
        <v/>
      </c>
    </row>
    <row r="24">
      <c r="A24" s="20" t="inlineStr">
        <is>
          <t>IGO.AX</t>
        </is>
      </c>
      <c r="B24" s="7" t="inlineStr">
        <is>
          <t>IGO Limited</t>
        </is>
      </c>
      <c r="C24" s="34">
        <f>'6 · Company data'!$O$26</f>
        <v/>
      </c>
      <c r="D24" s="34">
        <f>'6 · Company data'!$P$26</f>
        <v/>
      </c>
    </row>
    <row r="25">
      <c r="A25" s="35" t="n"/>
      <c r="B25" s="36" t="inlineStr">
        <is>
          <t>Median (the middle company)</t>
        </is>
      </c>
      <c r="C25" s="40">
        <f>MEDIAN(C18:C24)</f>
        <v/>
      </c>
      <c r="D25" s="35" t="n"/>
      <c r="E25" s="14" t="inlineStr">
        <is>
          <t>Middle of the seven values directly above</t>
        </is>
      </c>
    </row>
    <row r="27">
      <c r="B27" s="18" t="inlineStr">
        <is>
          <t>A typical mining fall is this many times a typical banking one</t>
        </is>
      </c>
      <c r="C27" s="41">
        <f>C25/C13</f>
        <v/>
      </c>
    </row>
    <row r="29">
      <c r="A29" s="42" t="inlineStr">
        <is>
          <t>The wrinkle: BHP and Rio Tinto sit with the BANKS, not with the miners — both around −17%. The two giant diversified miners have been far steadier than the pure-play producers beneath them. "Mining is volatile" is true of the sector, and not especially true of its two largest members.</t>
        </is>
      </c>
    </row>
    <row r="30"/>
    <row r="31"/>
  </sheetData>
  <mergeCells count="1">
    <mergeCell ref="A29: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87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8" customWidth="1" min="3" max="3"/>
    <col width="14" customWidth="1" min="4" max="4"/>
    <col width="21" customWidth="1" min="5" max="5"/>
    <col width="20" customWidth="1" min="6" max="6"/>
    <col width="20" customWidth="1" min="7" max="7"/>
    <col width="11" customWidth="1" min="8" max="8"/>
    <col width="13" customWidth="1" min="9" max="9"/>
    <col width="15" customWidth="1" min="10" max="10"/>
    <col width="15" customWidth="1" min="11" max="11"/>
    <col width="12" customWidth="1" min="12" max="12"/>
    <col width="12" customWidth="1" min="13" max="13"/>
    <col width="12" customWidth="1" min="14" max="14"/>
    <col width="13" customWidth="1" min="15" max="15"/>
    <col width="17" customWidth="1" min="16" max="16"/>
    <col width="14" customWidth="1" min="17" max="17"/>
    <col width="15" customWidth="1" min="18" max="18"/>
    <col width="22" customWidth="1" min="19" max="19"/>
  </cols>
  <sheetData>
    <row r="1">
      <c r="A1" s="1" t="inlineStr">
        <is>
          <t>Every company measured</t>
        </is>
      </c>
    </row>
    <row r="2" ht="30" customHeight="1">
      <c r="A2" s="2" t="inlineStr">
        <is>
          <t>Sorted by index, then sector, then ticker — so each block used on sheets 2–5 is a single unbroken range of rows. Companies below the index members are covered by MajorCycle but are not in any of the three indices; they are excluded from every published figure.</t>
        </is>
      </c>
    </row>
    <row r="4" ht="30" customHeight="1">
      <c r="A4" s="6" t="inlineStr">
        <is>
          <t>Ticker</t>
        </is>
      </c>
      <c r="B4" s="6" t="inlineStr">
        <is>
          <t>Company</t>
        </is>
      </c>
      <c r="C4" s="6" t="inlineStr">
        <is>
          <t>Market</t>
        </is>
      </c>
      <c r="D4" s="6" t="inlineStr">
        <is>
          <t>Index</t>
        </is>
      </c>
      <c r="E4" s="6" t="inlineStr">
        <is>
          <t>Sector</t>
        </is>
      </c>
      <c r="F4" s="6" t="inlineStr">
        <is>
          <t>Market cap (own currency)</t>
        </is>
      </c>
      <c r="G4" s="6" t="inlineStr">
        <is>
          <t>Market cap source</t>
        </is>
      </c>
      <c r="H4" s="6" t="inlineStr">
        <is>
          <t>Rank in index</t>
        </is>
      </c>
      <c r="I4" s="6" t="inlineStr">
        <is>
          <t>In largest 60?</t>
        </is>
      </c>
      <c r="J4" s="6" t="inlineStr">
        <is>
          <t>First price we hold</t>
        </is>
      </c>
      <c r="K4" s="6" t="inlineStr">
        <is>
          <t>Trading days used</t>
        </is>
      </c>
      <c r="L4" s="6" t="inlineStr">
        <is>
          <t>Window start</t>
        </is>
      </c>
      <c r="M4" s="6" t="inlineStr">
        <is>
          <t>Window end</t>
        </is>
      </c>
      <c r="N4" s="6" t="inlineStr">
        <is>
          <t>Falls counted</t>
        </is>
      </c>
      <c r="O4" s="6" t="inlineStr">
        <is>
          <t>Typical fall</t>
        </is>
      </c>
      <c r="P4" s="6" t="inlineStr">
        <is>
          <t>Worst fall since 2000</t>
        </is>
      </c>
      <c r="Q4" s="6" t="inlineStr">
        <is>
          <t>Typical rebound</t>
        </is>
      </c>
      <c r="R4" s="6" t="inlineStr">
        <is>
          <t>Now vs 1-yr high</t>
        </is>
      </c>
      <c r="S4" s="6" t="inlineStr">
        <is>
          <t>Largest-60 typical fall (helper)</t>
        </is>
      </c>
    </row>
    <row r="5">
      <c r="A5" s="43" t="inlineStr">
        <is>
          <t>SGH.AX</t>
        </is>
      </c>
      <c r="B5" s="44" t="inlineStr">
        <is>
          <t>SGH Limited</t>
        </is>
      </c>
      <c r="C5" s="44" t="inlineStr">
        <is>
          <t>AU</t>
        </is>
      </c>
      <c r="D5" s="44" t="inlineStr">
        <is>
          <t>ASX 200</t>
        </is>
      </c>
      <c r="E5" s="44" t="inlineStr">
        <is>
          <t>(not classified)</t>
        </is>
      </c>
      <c r="F5" s="45" t="n">
        <v>16133407744</v>
      </c>
      <c r="G5" s="44" t="inlineStr">
        <is>
          <t>nightly refresh</t>
        </is>
      </c>
      <c r="H5" s="43" t="n">
        <v>43</v>
      </c>
      <c r="I5" s="44" t="inlineStr">
        <is>
          <t>Yes</t>
        </is>
      </c>
      <c r="J5" s="44" t="inlineStr">
        <is>
          <t>1993-08-31</t>
        </is>
      </c>
      <c r="K5" s="43" t="n">
        <v>6780</v>
      </c>
      <c r="L5" s="44" t="inlineStr">
        <is>
          <t>2000-01-03</t>
        </is>
      </c>
      <c r="M5" s="44" t="inlineStr">
        <is>
          <t>2026-08-26</t>
        </is>
      </c>
      <c r="N5" s="43" t="n">
        <v>341</v>
      </c>
      <c r="O5" s="46" t="n">
        <v>-20.4563</v>
      </c>
      <c r="P5" s="46" t="n">
        <v>-64.782</v>
      </c>
      <c r="Q5" s="46" t="n">
        <v>48.0851</v>
      </c>
      <c r="R5" s="46" t="n">
        <v>-22.504</v>
      </c>
      <c r="S5" s="47">
        <f>IF($I5="Yes",$O5,"")</f>
        <v/>
      </c>
    </row>
    <row r="6">
      <c r="A6" s="48" t="inlineStr">
        <is>
          <t>AAI.AX</t>
        </is>
      </c>
      <c r="B6" s="49" t="inlineStr">
        <is>
          <t>Alcoa Corporation</t>
        </is>
      </c>
      <c r="C6" s="49" t="inlineStr">
        <is>
          <t>AU</t>
        </is>
      </c>
      <c r="D6" s="49" t="inlineStr">
        <is>
          <t>ASX 200</t>
        </is>
      </c>
      <c r="E6" s="49" t="inlineStr">
        <is>
          <t>Basic Materials</t>
        </is>
      </c>
      <c r="F6" s="50" t="n">
        <v>18180720640</v>
      </c>
      <c r="G6" s="49" t="inlineStr">
        <is>
          <t>nightly refresh</t>
        </is>
      </c>
      <c r="H6" s="48" t="n">
        <v>39</v>
      </c>
      <c r="I6" s="49" t="inlineStr">
        <is>
          <t>Yes</t>
        </is>
      </c>
      <c r="J6" s="49" t="inlineStr">
        <is>
          <t>2024-07-24</t>
        </is>
      </c>
      <c r="K6" s="48" t="n">
        <v>531</v>
      </c>
      <c r="L6" s="49" t="inlineStr">
        <is>
          <t>2024-07-24</t>
        </is>
      </c>
      <c r="M6" s="49" t="inlineStr">
        <is>
          <t>2026-08-26</t>
        </is>
      </c>
      <c r="N6" s="48" t="n">
        <v>28</v>
      </c>
      <c r="O6" s="51" t="n">
        <v>-27.2729</v>
      </c>
      <c r="P6" s="51" t="n">
        <v>-50.1311</v>
      </c>
      <c r="Q6" s="51" t="n">
        <v>71.4067</v>
      </c>
      <c r="R6" s="51" t="n">
        <v>-39.8914</v>
      </c>
      <c r="S6" s="52">
        <f>IF($I6="Yes",$O6,"")</f>
        <v/>
      </c>
    </row>
    <row r="7">
      <c r="A7" s="43" t="inlineStr">
        <is>
          <t>ALK.AX</t>
        </is>
      </c>
      <c r="B7" s="44" t="inlineStr">
        <is>
          <t>Alkane Resources Ltd</t>
        </is>
      </c>
      <c r="C7" s="44" t="inlineStr">
        <is>
          <t>AU</t>
        </is>
      </c>
      <c r="D7" s="44" t="inlineStr">
        <is>
          <t>ASX 200</t>
        </is>
      </c>
      <c r="E7" s="44" t="inlineStr">
        <is>
          <t>Basic Materials</t>
        </is>
      </c>
      <c r="F7" s="45" t="n">
        <v>2664099328</v>
      </c>
      <c r="G7" s="44" t="inlineStr">
        <is>
          <t>nightly refresh</t>
        </is>
      </c>
      <c r="H7" s="43" t="n">
        <v>144</v>
      </c>
      <c r="I7" s="44" t="inlineStr">
        <is>
          <t>No</t>
        </is>
      </c>
      <c r="J7" s="44" t="inlineStr">
        <is>
          <t>1988-01-29</t>
        </is>
      </c>
      <c r="K7" s="43" t="n">
        <v>6780</v>
      </c>
      <c r="L7" s="44" t="inlineStr">
        <is>
          <t>2000-01-03</t>
        </is>
      </c>
      <c r="M7" s="44" t="inlineStr">
        <is>
          <t>2026-08-26</t>
        </is>
      </c>
      <c r="N7" s="43" t="n">
        <v>302</v>
      </c>
      <c r="O7" s="46" t="n">
        <v>-38.6353</v>
      </c>
      <c r="P7" s="46" t="n">
        <v>-77.3109</v>
      </c>
      <c r="Q7" s="46" t="n">
        <v>113.6312</v>
      </c>
      <c r="R7" s="46" t="n">
        <v>-0.5024999999999999</v>
      </c>
      <c r="S7" s="47">
        <f>IF($I7="Yes",$O7,"")</f>
        <v/>
      </c>
    </row>
    <row r="8">
      <c r="A8" s="48" t="inlineStr">
        <is>
          <t>BGL.AX</t>
        </is>
      </c>
      <c r="B8" s="49" t="inlineStr">
        <is>
          <t>Bellevue Gold Limited</t>
        </is>
      </c>
      <c r="C8" s="49" t="inlineStr">
        <is>
          <t>AU</t>
        </is>
      </c>
      <c r="D8" s="49" t="inlineStr">
        <is>
          <t>ASX 200</t>
        </is>
      </c>
      <c r="E8" s="49" t="inlineStr">
        <is>
          <t>Basic Materials</t>
        </is>
      </c>
      <c r="F8" s="50" t="n">
        <v>2490808832</v>
      </c>
      <c r="G8" s="49" t="inlineStr">
        <is>
          <t>nightly refresh</t>
        </is>
      </c>
      <c r="H8" s="48" t="n">
        <v>149</v>
      </c>
      <c r="I8" s="49" t="inlineStr">
        <is>
          <t>No</t>
        </is>
      </c>
      <c r="J8" s="49" t="inlineStr">
        <is>
          <t>2005-12-19</t>
        </is>
      </c>
      <c r="K8" s="48" t="n">
        <v>5231</v>
      </c>
      <c r="L8" s="49" t="inlineStr">
        <is>
          <t>2005-12-19</t>
        </is>
      </c>
      <c r="M8" s="49" t="inlineStr">
        <is>
          <t>2026-08-26</t>
        </is>
      </c>
      <c r="N8" s="48" t="n">
        <v>169</v>
      </c>
      <c r="O8" s="51" t="n">
        <v>-42.1879</v>
      </c>
      <c r="P8" s="51" t="n">
        <v>-94.72969999999999</v>
      </c>
      <c r="Q8" s="51" t="n">
        <v>195.5076</v>
      </c>
      <c r="R8" s="51" t="n">
        <v>-13.75</v>
      </c>
      <c r="S8" s="52">
        <f>IF($I8="Yes",$O8,"")</f>
        <v/>
      </c>
    </row>
    <row r="9">
      <c r="A9" s="43" t="inlineStr">
        <is>
          <t>BHP.AX</t>
        </is>
      </c>
      <c r="B9" s="44" t="inlineStr">
        <is>
          <t>BHP Group Limited</t>
        </is>
      </c>
      <c r="C9" s="44" t="inlineStr">
        <is>
          <t>AU</t>
        </is>
      </c>
      <c r="D9" s="44" t="inlineStr">
        <is>
          <t>ASX 200</t>
        </is>
      </c>
      <c r="E9" s="44" t="inlineStr">
        <is>
          <t>Basic Materials</t>
        </is>
      </c>
      <c r="F9" s="45" t="n">
        <v>337508139008</v>
      </c>
      <c r="G9" s="44" t="inlineStr">
        <is>
          <t>nightly refresh</t>
        </is>
      </c>
      <c r="H9" s="43" t="n">
        <v>1</v>
      </c>
      <c r="I9" s="44" t="inlineStr">
        <is>
          <t>Yes</t>
        </is>
      </c>
      <c r="J9" s="44" t="inlineStr">
        <is>
          <t>1988-01-29</t>
        </is>
      </c>
      <c r="K9" s="43" t="n">
        <v>6780</v>
      </c>
      <c r="L9" s="44" t="inlineStr">
        <is>
          <t>2000-01-03</t>
        </is>
      </c>
      <c r="M9" s="44" t="inlineStr">
        <is>
          <t>2026-08-26</t>
        </is>
      </c>
      <c r="N9" s="43" t="n">
        <v>343</v>
      </c>
      <c r="O9" s="46" t="n">
        <v>-16.9052</v>
      </c>
      <c r="P9" s="46" t="n">
        <v>-57.2175</v>
      </c>
      <c r="Q9" s="46" t="n">
        <v>41.0717</v>
      </c>
      <c r="R9" s="46" t="n">
        <v>-1.9921</v>
      </c>
      <c r="S9" s="47">
        <f>IF($I9="Yes",$O9,"")</f>
        <v/>
      </c>
    </row>
    <row r="10">
      <c r="A10" s="48" t="inlineStr">
        <is>
          <t>BSL.AX</t>
        </is>
      </c>
      <c r="B10" s="49" t="inlineStr">
        <is>
          <t>BlueScope Steel Limited</t>
        </is>
      </c>
      <c r="C10" s="49" t="inlineStr">
        <is>
          <t>AU</t>
        </is>
      </c>
      <c r="D10" s="49" t="inlineStr">
        <is>
          <t>ASX 200</t>
        </is>
      </c>
      <c r="E10" s="49" t="inlineStr">
        <is>
          <t>Basic Materials</t>
        </is>
      </c>
      <c r="F10" s="50" t="n">
        <v>13431454720</v>
      </c>
      <c r="G10" s="49" t="inlineStr">
        <is>
          <t>nightly refresh</t>
        </is>
      </c>
      <c r="H10" s="48" t="n">
        <v>47</v>
      </c>
      <c r="I10" s="49" t="inlineStr">
        <is>
          <t>Yes</t>
        </is>
      </c>
      <c r="J10" s="49" t="inlineStr">
        <is>
          <t>2002-07-12</t>
        </is>
      </c>
      <c r="K10" s="48" t="n">
        <v>6121</v>
      </c>
      <c r="L10" s="49" t="inlineStr">
        <is>
          <t>2002-07-12</t>
        </is>
      </c>
      <c r="M10" s="49" t="inlineStr">
        <is>
          <t>2026-08-26</t>
        </is>
      </c>
      <c r="N10" s="48" t="n">
        <v>327</v>
      </c>
      <c r="O10" s="51" t="n">
        <v>-23.5839</v>
      </c>
      <c r="P10" s="51" t="n">
        <v>-81.6446</v>
      </c>
      <c r="Q10" s="51" t="n">
        <v>63.2307</v>
      </c>
      <c r="R10" s="51" t="n">
        <v>-12.7623</v>
      </c>
      <c r="S10" s="52">
        <f>IF($I10="Yes",$O10,"")</f>
        <v/>
      </c>
    </row>
    <row r="11">
      <c r="A11" s="43" t="inlineStr">
        <is>
          <t>CIA.AX</t>
        </is>
      </c>
      <c r="B11" s="44" t="inlineStr">
        <is>
          <t>Champion Iron Limited</t>
        </is>
      </c>
      <c r="C11" s="44" t="inlineStr">
        <is>
          <t>AU</t>
        </is>
      </c>
      <c r="D11" s="44" t="inlineStr">
        <is>
          <t>ASX 200</t>
        </is>
      </c>
      <c r="E11" s="44" t="inlineStr">
        <is>
          <t>Basic Materials</t>
        </is>
      </c>
      <c r="F11" s="45" t="n">
        <v>1976965632</v>
      </c>
      <c r="G11" s="44" t="inlineStr">
        <is>
          <t>nightly refresh</t>
        </is>
      </c>
      <c r="H11" s="43" t="n">
        <v>162</v>
      </c>
      <c r="I11" s="44" t="inlineStr">
        <is>
          <t>No</t>
        </is>
      </c>
      <c r="J11" s="44" t="inlineStr">
        <is>
          <t>2007-06-05</t>
        </is>
      </c>
      <c r="K11" s="43" t="n">
        <v>4865</v>
      </c>
      <c r="L11" s="44" t="inlineStr">
        <is>
          <t>2007-06-05</t>
        </is>
      </c>
      <c r="M11" s="44" t="inlineStr">
        <is>
          <t>2026-08-26</t>
        </is>
      </c>
      <c r="N11" s="43" t="n">
        <v>191</v>
      </c>
      <c r="O11" s="46" t="n">
        <v>-30.8815</v>
      </c>
      <c r="P11" s="46" t="n">
        <v>-87.8035</v>
      </c>
      <c r="Q11" s="46" t="n">
        <v>128.607</v>
      </c>
      <c r="R11" s="46" t="n">
        <v>-46.0212</v>
      </c>
      <c r="S11" s="47">
        <f>IF($I11="Yes",$O11,"")</f>
        <v/>
      </c>
    </row>
    <row r="12">
      <c r="A12" s="48" t="inlineStr">
        <is>
          <t>CMM.AX</t>
        </is>
      </c>
      <c r="B12" s="49" t="inlineStr">
        <is>
          <t>Capricorn Metals Ltd</t>
        </is>
      </c>
      <c r="C12" s="49" t="inlineStr">
        <is>
          <t>AU</t>
        </is>
      </c>
      <c r="D12" s="49" t="inlineStr">
        <is>
          <t>ASX 200</t>
        </is>
      </c>
      <c r="E12" s="49" t="inlineStr">
        <is>
          <t>Basic Materials</t>
        </is>
      </c>
      <c r="F12" s="50" t="n">
        <v>7927041024</v>
      </c>
      <c r="G12" s="49" t="inlineStr">
        <is>
          <t>nightly refresh</t>
        </is>
      </c>
      <c r="H12" s="48" t="n">
        <v>77</v>
      </c>
      <c r="I12" s="49" t="inlineStr">
        <is>
          <t>No</t>
        </is>
      </c>
      <c r="J12" s="49" t="inlineStr">
        <is>
          <t>2008-07-07</t>
        </is>
      </c>
      <c r="K12" s="48" t="n">
        <v>4590</v>
      </c>
      <c r="L12" s="49" t="inlineStr">
        <is>
          <t>2008-07-07</t>
        </is>
      </c>
      <c r="M12" s="49" t="inlineStr">
        <is>
          <t>2026-08-26</t>
        </is>
      </c>
      <c r="N12" s="48" t="n">
        <v>165</v>
      </c>
      <c r="O12" s="51" t="n">
        <v>-31.4284</v>
      </c>
      <c r="P12" s="51" t="n">
        <v>-90</v>
      </c>
      <c r="Q12" s="51" t="n">
        <v>181.9441</v>
      </c>
      <c r="R12" s="51" t="n">
        <v>-2.6287</v>
      </c>
      <c r="S12" s="52">
        <f>IF($I12="Yes",$O12,"")</f>
        <v/>
      </c>
    </row>
    <row r="13">
      <c r="A13" s="43" t="inlineStr">
        <is>
          <t>CSC.AX</t>
        </is>
      </c>
      <c r="B13" s="44" t="inlineStr">
        <is>
          <t>Capstone Copper Corp.</t>
        </is>
      </c>
      <c r="C13" s="44" t="inlineStr">
        <is>
          <t>AU</t>
        </is>
      </c>
      <c r="D13" s="44" t="inlineStr">
        <is>
          <t>ASX 200</t>
        </is>
      </c>
      <c r="E13" s="44" t="inlineStr">
        <is>
          <t>Basic Materials</t>
        </is>
      </c>
      <c r="F13" s="45" t="n">
        <v>12421816320</v>
      </c>
      <c r="G13" s="44" t="inlineStr">
        <is>
          <t>nightly refresh</t>
        </is>
      </c>
      <c r="H13" s="43" t="n">
        <v>51</v>
      </c>
      <c r="I13" s="44" t="inlineStr">
        <is>
          <t>Yes</t>
        </is>
      </c>
      <c r="J13" s="44" t="inlineStr">
        <is>
          <t>2024-04-08</t>
        </is>
      </c>
      <c r="K13" s="43" t="n">
        <v>606</v>
      </c>
      <c r="L13" s="44" t="inlineStr">
        <is>
          <t>2024-04-08</t>
        </is>
      </c>
      <c r="M13" s="44" t="inlineStr">
        <is>
          <t>2026-08-26</t>
        </is>
      </c>
      <c r="N13" s="43" t="n">
        <v>39</v>
      </c>
      <c r="O13" s="46" t="n">
        <v>-25.1895</v>
      </c>
      <c r="P13" s="46" t="n">
        <v>-50.64</v>
      </c>
      <c r="Q13" s="46" t="n">
        <v>72.7076</v>
      </c>
      <c r="R13" s="46" t="n">
        <v>-7.4033</v>
      </c>
      <c r="S13" s="47">
        <f>IF($I13="Yes",$O13,"")</f>
        <v/>
      </c>
    </row>
    <row r="14">
      <c r="A14" s="48" t="inlineStr">
        <is>
          <t>CYL.AX</t>
        </is>
      </c>
      <c r="B14" s="49" t="inlineStr">
        <is>
          <t>Catalyst Metals Limited</t>
        </is>
      </c>
      <c r="C14" s="49" t="inlineStr">
        <is>
          <t>AU</t>
        </is>
      </c>
      <c r="D14" s="49" t="inlineStr">
        <is>
          <t>ASX 200</t>
        </is>
      </c>
      <c r="E14" s="49" t="inlineStr">
        <is>
          <t>Basic Materials</t>
        </is>
      </c>
      <c r="F14" s="50" t="n">
        <v>1769219200</v>
      </c>
      <c r="G14" s="49" t="inlineStr">
        <is>
          <t>nightly refresh</t>
        </is>
      </c>
      <c r="H14" s="48" t="n">
        <v>172</v>
      </c>
      <c r="I14" s="49" t="inlineStr">
        <is>
          <t>No</t>
        </is>
      </c>
      <c r="J14" s="49" t="inlineStr">
        <is>
          <t>2006-07-26</t>
        </is>
      </c>
      <c r="K14" s="48" t="n">
        <v>5082</v>
      </c>
      <c r="L14" s="49" t="inlineStr">
        <is>
          <t>2006-07-26</t>
        </is>
      </c>
      <c r="M14" s="49" t="inlineStr">
        <is>
          <t>2026-08-26</t>
        </is>
      </c>
      <c r="N14" s="48" t="n">
        <v>164</v>
      </c>
      <c r="O14" s="51" t="n">
        <v>-31.7063</v>
      </c>
      <c r="P14" s="51" t="n">
        <v>-78.3784</v>
      </c>
      <c r="Q14" s="51" t="n">
        <v>143.9548</v>
      </c>
      <c r="R14" s="51" t="n">
        <v>-29.4898</v>
      </c>
      <c r="S14" s="52">
        <f>IF($I14="Yes",$O14,"")</f>
        <v/>
      </c>
    </row>
    <row r="15">
      <c r="A15" s="43" t="inlineStr">
        <is>
          <t>DNL.AX</t>
        </is>
      </c>
      <c r="B15" s="44" t="inlineStr">
        <is>
          <t>Dyno Nobel Limited</t>
        </is>
      </c>
      <c r="C15" s="44" t="inlineStr">
        <is>
          <t>AU</t>
        </is>
      </c>
      <c r="D15" s="44" t="inlineStr">
        <is>
          <t>ASX 200</t>
        </is>
      </c>
      <c r="E15" s="44" t="inlineStr">
        <is>
          <t>Basic Materials</t>
        </is>
      </c>
      <c r="F15" s="45" t="n">
        <v>6603401728</v>
      </c>
      <c r="G15" s="44" t="inlineStr">
        <is>
          <t>nightly refresh</t>
        </is>
      </c>
      <c r="H15" s="43" t="n">
        <v>86</v>
      </c>
      <c r="I15" s="44" t="inlineStr">
        <is>
          <t>No</t>
        </is>
      </c>
      <c r="J15" s="44" t="inlineStr">
        <is>
          <t>2003-07-25</t>
        </is>
      </c>
      <c r="K15" s="43" t="n">
        <v>5851</v>
      </c>
      <c r="L15" s="44" t="inlineStr">
        <is>
          <t>2003-07-25</t>
        </is>
      </c>
      <c r="M15" s="44" t="inlineStr">
        <is>
          <t>2026-08-26</t>
        </is>
      </c>
      <c r="N15" s="43" t="n">
        <v>286</v>
      </c>
      <c r="O15" s="46" t="n">
        <v>-21.5925</v>
      </c>
      <c r="P15" s="46" t="n">
        <v>-79.34220000000001</v>
      </c>
      <c r="Q15" s="46" t="n">
        <v>56.9261</v>
      </c>
      <c r="R15" s="46" t="n">
        <v>-5.7357</v>
      </c>
      <c r="S15" s="47">
        <f>IF($I15="Yes",$O15,"")</f>
        <v/>
      </c>
    </row>
    <row r="16">
      <c r="A16" s="48" t="inlineStr">
        <is>
          <t>DRR.AX</t>
        </is>
      </c>
      <c r="B16" s="49" t="inlineStr">
        <is>
          <t>Deterra Royalties Limited</t>
        </is>
      </c>
      <c r="C16" s="49" t="inlineStr">
        <is>
          <t>AU</t>
        </is>
      </c>
      <c r="D16" s="49" t="inlineStr">
        <is>
          <t>ASX 200</t>
        </is>
      </c>
      <c r="E16" s="49" t="inlineStr">
        <is>
          <t>Basic Materials</t>
        </is>
      </c>
      <c r="F16" s="50" t="n">
        <v>2186860288</v>
      </c>
      <c r="G16" s="49" t="inlineStr">
        <is>
          <t>nightly refresh</t>
        </is>
      </c>
      <c r="H16" s="48" t="n">
        <v>158</v>
      </c>
      <c r="I16" s="49" t="inlineStr">
        <is>
          <t>No</t>
        </is>
      </c>
      <c r="J16" s="49" t="inlineStr">
        <is>
          <t>2020-10-23</t>
        </is>
      </c>
      <c r="K16" s="48" t="n">
        <v>1477</v>
      </c>
      <c r="L16" s="49" t="inlineStr">
        <is>
          <t>2020-10-23</t>
        </is>
      </c>
      <c r="M16" s="49" t="inlineStr">
        <is>
          <t>2026-08-26</t>
        </is>
      </c>
      <c r="N16" s="48" t="n">
        <v>72</v>
      </c>
      <c r="O16" s="51" t="n">
        <v>-16.2694</v>
      </c>
      <c r="P16" s="51" t="n">
        <v>-35.3175</v>
      </c>
      <c r="Q16" s="51" t="n">
        <v>26.1147</v>
      </c>
      <c r="R16" s="51" t="n">
        <v>-11.7155</v>
      </c>
      <c r="S16" s="52">
        <f>IF($I16="Yes",$O16,"")</f>
        <v/>
      </c>
    </row>
    <row r="17">
      <c r="A17" s="43" t="inlineStr">
        <is>
          <t>DVP.AX</t>
        </is>
      </c>
      <c r="B17" s="44" t="inlineStr">
        <is>
          <t>Develop Global Limited</t>
        </is>
      </c>
      <c r="C17" s="44" t="inlineStr">
        <is>
          <t>AU</t>
        </is>
      </c>
      <c r="D17" s="44" t="inlineStr">
        <is>
          <t>ASX 200</t>
        </is>
      </c>
      <c r="E17" s="44" t="inlineStr">
        <is>
          <t>Basic Materials</t>
        </is>
      </c>
      <c r="F17" s="45" t="n">
        <v>1867717760</v>
      </c>
      <c r="G17" s="44" t="inlineStr">
        <is>
          <t>nightly refresh</t>
        </is>
      </c>
      <c r="H17" s="43" t="n">
        <v>167</v>
      </c>
      <c r="I17" s="44" t="inlineStr">
        <is>
          <t>No</t>
        </is>
      </c>
      <c r="J17" s="44" t="inlineStr">
        <is>
          <t>2007-04-27</t>
        </is>
      </c>
      <c r="K17" s="43" t="n">
        <v>4892</v>
      </c>
      <c r="L17" s="44" t="inlineStr">
        <is>
          <t>2007-04-27</t>
        </is>
      </c>
      <c r="M17" s="44" t="inlineStr">
        <is>
          <t>2026-08-26</t>
        </is>
      </c>
      <c r="N17" s="43" t="n">
        <v>155</v>
      </c>
      <c r="O17" s="46" t="n">
        <v>-42.7492</v>
      </c>
      <c r="P17" s="46" t="n">
        <v>-96.6301</v>
      </c>
      <c r="Q17" s="46" t="n">
        <v>219.0737</v>
      </c>
      <c r="R17" s="46" t="n">
        <v>-28.5156</v>
      </c>
      <c r="S17" s="47">
        <f>IF($I17="Yes",$O17,"")</f>
        <v/>
      </c>
    </row>
    <row r="18">
      <c r="A18" s="48" t="inlineStr">
        <is>
          <t>ELV.AX</t>
        </is>
      </c>
      <c r="B18" s="49" t="inlineStr">
        <is>
          <t>Elevra Lithium Limited</t>
        </is>
      </c>
      <c r="C18" s="49" t="inlineStr">
        <is>
          <t>AU</t>
        </is>
      </c>
      <c r="D18" s="49" t="inlineStr">
        <is>
          <t>ASX 200</t>
        </is>
      </c>
      <c r="E18" s="49" t="inlineStr">
        <is>
          <t>Basic Materials</t>
        </is>
      </c>
      <c r="F18" s="50" t="n">
        <v>1418977920</v>
      </c>
      <c r="G18" s="49" t="inlineStr">
        <is>
          <t>nightly refresh</t>
        </is>
      </c>
      <c r="H18" s="48" t="n">
        <v>185</v>
      </c>
      <c r="I18" s="49" t="inlineStr">
        <is>
          <t>No</t>
        </is>
      </c>
      <c r="J18" s="49" t="inlineStr">
        <is>
          <t>2004-03-29</t>
        </is>
      </c>
      <c r="K18" s="48" t="n">
        <v>5675</v>
      </c>
      <c r="L18" s="49" t="inlineStr">
        <is>
          <t>2004-03-29</t>
        </is>
      </c>
      <c r="M18" s="49" t="inlineStr">
        <is>
          <t>2026-08-26</t>
        </is>
      </c>
      <c r="N18" s="48" t="n">
        <v>147</v>
      </c>
      <c r="O18" s="51" t="n">
        <v>-52.6933</v>
      </c>
      <c r="P18" s="51" t="n">
        <v>-98.4496</v>
      </c>
      <c r="Q18" s="51" t="n">
        <v>541.5647</v>
      </c>
      <c r="R18" s="51" t="n">
        <v>-37.34</v>
      </c>
      <c r="S18" s="52">
        <f>IF($I18="Yes",$O18,"")</f>
        <v/>
      </c>
    </row>
    <row r="19">
      <c r="A19" s="43" t="inlineStr">
        <is>
          <t>EMR.AX</t>
        </is>
      </c>
      <c r="B19" s="44" t="inlineStr">
        <is>
          <t>Emerald Resources NL</t>
        </is>
      </c>
      <c r="C19" s="44" t="inlineStr">
        <is>
          <t>AU</t>
        </is>
      </c>
      <c r="D19" s="44" t="inlineStr">
        <is>
          <t>ASX 200</t>
        </is>
      </c>
      <c r="E19" s="44" t="inlineStr">
        <is>
          <t>Basic Materials</t>
        </is>
      </c>
      <c r="F19" s="45" t="n">
        <v>4671455744</v>
      </c>
      <c r="G19" s="44" t="inlineStr">
        <is>
          <t>nightly refresh</t>
        </is>
      </c>
      <c r="H19" s="43" t="n">
        <v>113</v>
      </c>
      <c r="I19" s="44" t="inlineStr">
        <is>
          <t>No</t>
        </is>
      </c>
      <c r="J19" s="44" t="inlineStr">
        <is>
          <t>1994-07-29</t>
        </is>
      </c>
      <c r="K19" s="43" t="n">
        <v>6780</v>
      </c>
      <c r="L19" s="44" t="inlineStr">
        <is>
          <t>2000-01-03</t>
        </is>
      </c>
      <c r="M19" s="44" t="inlineStr">
        <is>
          <t>2026-08-26</t>
        </is>
      </c>
      <c r="N19" s="43" t="n">
        <v>203</v>
      </c>
      <c r="O19" s="46" t="n">
        <v>-33.5315</v>
      </c>
      <c r="P19" s="46" t="n">
        <v>-88.9286</v>
      </c>
      <c r="Q19" s="46" t="n">
        <v>94.1371</v>
      </c>
      <c r="R19" s="46" t="n">
        <v>-10.9741</v>
      </c>
      <c r="S19" s="47">
        <f>IF($I19="Yes",$O19,"")</f>
        <v/>
      </c>
    </row>
    <row r="20">
      <c r="A20" s="48" t="inlineStr">
        <is>
          <t>EVN.AX</t>
        </is>
      </c>
      <c r="B20" s="49" t="inlineStr">
        <is>
          <t>Evolution Mining Limited</t>
        </is>
      </c>
      <c r="C20" s="49" t="inlineStr">
        <is>
          <t>AU</t>
        </is>
      </c>
      <c r="D20" s="49" t="inlineStr">
        <is>
          <t>ASX 200</t>
        </is>
      </c>
      <c r="E20" s="49" t="inlineStr">
        <is>
          <t>Basic Materials</t>
        </is>
      </c>
      <c r="F20" s="50" t="n">
        <v>32015792128</v>
      </c>
      <c r="G20" s="49" t="inlineStr">
        <is>
          <t>nightly refresh</t>
        </is>
      </c>
      <c r="H20" s="48" t="n">
        <v>22</v>
      </c>
      <c r="I20" s="49" t="inlineStr">
        <is>
          <t>Yes</t>
        </is>
      </c>
      <c r="J20" s="49" t="inlineStr">
        <is>
          <t>2002-08-20</t>
        </is>
      </c>
      <c r="K20" s="48" t="n">
        <v>6094</v>
      </c>
      <c r="L20" s="49" t="inlineStr">
        <is>
          <t>2002-08-20</t>
        </is>
      </c>
      <c r="M20" s="49" t="inlineStr">
        <is>
          <t>2026-08-26</t>
        </is>
      </c>
      <c r="N20" s="48" t="n">
        <v>280</v>
      </c>
      <c r="O20" s="51" t="n">
        <v>-30.5504</v>
      </c>
      <c r="P20" s="51" t="n">
        <v>-78.7445</v>
      </c>
      <c r="Q20" s="51" t="n">
        <v>92.37430000000001</v>
      </c>
      <c r="R20" s="51" t="n">
        <v>-9.397</v>
      </c>
      <c r="S20" s="52">
        <f>IF($I20="Yes",$O20,"")</f>
        <v/>
      </c>
    </row>
    <row r="21">
      <c r="A21" s="43" t="inlineStr">
        <is>
          <t>FBU.AX</t>
        </is>
      </c>
      <c r="B21" s="44" t="inlineStr">
        <is>
          <t>Fletcher Building Limited</t>
        </is>
      </c>
      <c r="C21" s="44" t="inlineStr">
        <is>
          <t>AU</t>
        </is>
      </c>
      <c r="D21" s="44" t="inlineStr">
        <is>
          <t>ASX 200</t>
        </is>
      </c>
      <c r="E21" s="44" t="inlineStr">
        <is>
          <t>Basic Materials</t>
        </is>
      </c>
      <c r="F21" s="45" t="n">
        <v>3495575552</v>
      </c>
      <c r="G21" s="44" t="inlineStr">
        <is>
          <t>nightly refresh</t>
        </is>
      </c>
      <c r="H21" s="43" t="n">
        <v>128</v>
      </c>
      <c r="I21" s="44" t="inlineStr">
        <is>
          <t>No</t>
        </is>
      </c>
      <c r="J21" s="44" t="inlineStr">
        <is>
          <t>1999-07-26</t>
        </is>
      </c>
      <c r="K21" s="43" t="n">
        <v>6780</v>
      </c>
      <c r="L21" s="44" t="inlineStr">
        <is>
          <t>2000-01-03</t>
        </is>
      </c>
      <c r="M21" s="44" t="inlineStr">
        <is>
          <t>2026-08-26</t>
        </is>
      </c>
      <c r="N21" s="43" t="n">
        <v>308</v>
      </c>
      <c r="O21" s="46" t="n">
        <v>-19.7746</v>
      </c>
      <c r="P21" s="46" t="n">
        <v>-58.6107</v>
      </c>
      <c r="Q21" s="46" t="n">
        <v>37.9623</v>
      </c>
      <c r="R21" s="46" t="n">
        <v>-3.7791</v>
      </c>
      <c r="S21" s="47">
        <f>IF($I21="Yes",$O21,"")</f>
        <v/>
      </c>
    </row>
    <row r="22">
      <c r="A22" s="48" t="inlineStr">
        <is>
          <t>FFM.AX</t>
        </is>
      </c>
      <c r="B22" s="49" t="inlineStr">
        <is>
          <t>FireFly Metals Ltd</t>
        </is>
      </c>
      <c r="C22" s="49" t="inlineStr">
        <is>
          <t>AU</t>
        </is>
      </c>
      <c r="D22" s="49" t="inlineStr">
        <is>
          <t>ASX 200</t>
        </is>
      </c>
      <c r="E22" s="49" t="inlineStr">
        <is>
          <t>Basic Materials</t>
        </is>
      </c>
      <c r="F22" s="50" t="n">
        <v>1468381184</v>
      </c>
      <c r="G22" s="49" t="inlineStr">
        <is>
          <t>nightly refresh</t>
        </is>
      </c>
      <c r="H22" s="48" t="n">
        <v>183</v>
      </c>
      <c r="I22" s="49" t="inlineStr">
        <is>
          <t>No</t>
        </is>
      </c>
      <c r="J22" s="49" t="inlineStr">
        <is>
          <t>2005-09-20</t>
        </is>
      </c>
      <c r="K22" s="48" t="n">
        <v>5295</v>
      </c>
      <c r="L22" s="49" t="inlineStr">
        <is>
          <t>2005-09-20</t>
        </is>
      </c>
      <c r="M22" s="49" t="inlineStr">
        <is>
          <t>2026-08-26</t>
        </is>
      </c>
      <c r="N22" s="48" t="n">
        <v>161</v>
      </c>
      <c r="O22" s="51" t="n">
        <v>-49.7401</v>
      </c>
      <c r="P22" s="51" t="n">
        <v>-92.91670000000001</v>
      </c>
      <c r="Q22" s="51" t="n">
        <v>241.8499</v>
      </c>
      <c r="R22" s="51" t="n">
        <v>-19.6653</v>
      </c>
      <c r="S22" s="52">
        <f>IF($I22="Yes",$O22,"")</f>
        <v/>
      </c>
    </row>
    <row r="23">
      <c r="A23" s="43" t="inlineStr">
        <is>
          <t>FMG.AX</t>
        </is>
      </c>
      <c r="B23" s="44" t="inlineStr">
        <is>
          <t>Fortescue Ltd</t>
        </is>
      </c>
      <c r="C23" s="44" t="inlineStr">
        <is>
          <t>AU</t>
        </is>
      </c>
      <c r="D23" s="44" t="inlineStr">
        <is>
          <t>ASX 200</t>
        </is>
      </c>
      <c r="E23" s="44" t="inlineStr">
        <is>
          <t>Basic Materials</t>
        </is>
      </c>
      <c r="F23" s="45" t="n">
        <v>54497681408</v>
      </c>
      <c r="G23" s="44" t="inlineStr">
        <is>
          <t>nightly refresh</t>
        </is>
      </c>
      <c r="H23" s="43" t="n">
        <v>14</v>
      </c>
      <c r="I23" s="44" t="inlineStr">
        <is>
          <t>Yes</t>
        </is>
      </c>
      <c r="J23" s="44" t="inlineStr">
        <is>
          <t>1988-01-29</t>
        </is>
      </c>
      <c r="K23" s="43" t="n">
        <v>6780</v>
      </c>
      <c r="L23" s="44" t="inlineStr">
        <is>
          <t>2000-01-03</t>
        </is>
      </c>
      <c r="M23" s="44" t="inlineStr">
        <is>
          <t>2026-08-26</t>
        </is>
      </c>
      <c r="N23" s="43" t="n">
        <v>343</v>
      </c>
      <c r="O23" s="46" t="n">
        <v>-27.8448</v>
      </c>
      <c r="P23" s="46" t="n">
        <v>-90.1901</v>
      </c>
      <c r="Q23" s="46" t="n">
        <v>164.9392</v>
      </c>
      <c r="R23" s="46" t="n">
        <v>-24.1245</v>
      </c>
      <c r="S23" s="47">
        <f>IF($I23="Yes",$O23,"")</f>
        <v/>
      </c>
    </row>
    <row r="24">
      <c r="A24" s="48" t="inlineStr">
        <is>
          <t>GGP.AX</t>
        </is>
      </c>
      <c r="B24" s="49" t="inlineStr">
        <is>
          <t>Greatland Resources Limited</t>
        </is>
      </c>
      <c r="C24" s="49" t="inlineStr">
        <is>
          <t>AU</t>
        </is>
      </c>
      <c r="D24" s="49" t="inlineStr">
        <is>
          <t>ASX 200</t>
        </is>
      </c>
      <c r="E24" s="49" t="inlineStr">
        <is>
          <t>Basic Materials</t>
        </is>
      </c>
      <c r="F24" s="50" t="n">
        <v>8811156480</v>
      </c>
      <c r="G24" s="49" t="inlineStr">
        <is>
          <t>nightly refresh</t>
        </is>
      </c>
      <c r="H24" s="48" t="n">
        <v>76</v>
      </c>
      <c r="I24" s="49" t="inlineStr">
        <is>
          <t>No</t>
        </is>
      </c>
      <c r="J24" s="49" t="inlineStr">
        <is>
          <t>2025-06-24</t>
        </is>
      </c>
      <c r="K24" s="48" t="n">
        <v>300</v>
      </c>
      <c r="L24" s="49" t="inlineStr">
        <is>
          <t>2025-06-24</t>
        </is>
      </c>
      <c r="M24" s="49" t="inlineStr">
        <is>
          <t>2026-08-26</t>
        </is>
      </c>
      <c r="N24" s="48" t="n">
        <v>19</v>
      </c>
      <c r="O24" s="51" t="n">
        <v>-21.6683</v>
      </c>
      <c r="P24" s="51" t="n">
        <v>-37.3196</v>
      </c>
      <c r="Q24" s="51" t="n">
        <v>125.9443</v>
      </c>
      <c r="R24" s="51" t="n">
        <v>-12.2853</v>
      </c>
      <c r="S24" s="52">
        <f>IF($I24="Yes",$O24,"")</f>
        <v/>
      </c>
    </row>
    <row r="25">
      <c r="A25" s="43" t="inlineStr">
        <is>
          <t>GMD.AX</t>
        </is>
      </c>
      <c r="B25" s="44" t="inlineStr">
        <is>
          <t>Genesis Minerals Limited</t>
        </is>
      </c>
      <c r="C25" s="44" t="inlineStr">
        <is>
          <t>AU</t>
        </is>
      </c>
      <c r="D25" s="44" t="inlineStr">
        <is>
          <t>ASX 200</t>
        </is>
      </c>
      <c r="E25" s="44" t="inlineStr">
        <is>
          <t>Basic Materials</t>
        </is>
      </c>
      <c r="F25" s="45" t="n">
        <v>9799065600</v>
      </c>
      <c r="G25" s="44" t="inlineStr">
        <is>
          <t>nightly refresh</t>
        </is>
      </c>
      <c r="H25" s="43" t="n">
        <v>69</v>
      </c>
      <c r="I25" s="44" t="inlineStr">
        <is>
          <t>No</t>
        </is>
      </c>
      <c r="J25" s="44" t="inlineStr">
        <is>
          <t>2007-08-02</t>
        </is>
      </c>
      <c r="K25" s="43" t="n">
        <v>4824</v>
      </c>
      <c r="L25" s="44" t="inlineStr">
        <is>
          <t>2007-08-02</t>
        </is>
      </c>
      <c r="M25" s="44" t="inlineStr">
        <is>
          <t>2026-08-26</t>
        </is>
      </c>
      <c r="N25" s="43" t="n">
        <v>143</v>
      </c>
      <c r="O25" s="46" t="n">
        <v>-33.5825</v>
      </c>
      <c r="P25" s="46" t="n">
        <v>-80.0001</v>
      </c>
      <c r="Q25" s="46" t="n">
        <v>154.5716</v>
      </c>
      <c r="R25" s="46" t="n">
        <v>-2.7149</v>
      </c>
      <c r="S25" s="47">
        <f>IF($I25="Yes",$O25,"")</f>
        <v/>
      </c>
    </row>
    <row r="26">
      <c r="A26" s="48" t="inlineStr">
        <is>
          <t>IGO.AX</t>
        </is>
      </c>
      <c r="B26" s="49" t="inlineStr">
        <is>
          <t>IGO Limited</t>
        </is>
      </c>
      <c r="C26" s="49" t="inlineStr">
        <is>
          <t>AU</t>
        </is>
      </c>
      <c r="D26" s="49" t="inlineStr">
        <is>
          <t>ASX 200</t>
        </is>
      </c>
      <c r="E26" s="49" t="inlineStr">
        <is>
          <t>Basic Materials</t>
        </is>
      </c>
      <c r="F26" s="50" t="n">
        <v>6277750272</v>
      </c>
      <c r="G26" s="49" t="inlineStr">
        <is>
          <t>nightly refresh</t>
        </is>
      </c>
      <c r="H26" s="48" t="n">
        <v>91</v>
      </c>
      <c r="I26" s="49" t="inlineStr">
        <is>
          <t>No</t>
        </is>
      </c>
      <c r="J26" s="49" t="inlineStr">
        <is>
          <t>2002-01-03</t>
        </is>
      </c>
      <c r="K26" s="48" t="n">
        <v>6257</v>
      </c>
      <c r="L26" s="49" t="inlineStr">
        <is>
          <t>2002-01-03</t>
        </is>
      </c>
      <c r="M26" s="49" t="inlineStr">
        <is>
          <t>2026-08-26</t>
        </is>
      </c>
      <c r="N26" s="48" t="n">
        <v>341</v>
      </c>
      <c r="O26" s="51" t="n">
        <v>-28.4312</v>
      </c>
      <c r="P26" s="51" t="n">
        <v>-86.7641</v>
      </c>
      <c r="Q26" s="51" t="n">
        <v>90.74809999999999</v>
      </c>
      <c r="R26" s="51" t="n">
        <v>-18.5075</v>
      </c>
      <c r="S26" s="52">
        <f>IF($I26="Yes",$O26,"")</f>
        <v/>
      </c>
    </row>
    <row r="27">
      <c r="A27" s="43" t="inlineStr">
        <is>
          <t>ILU.AX</t>
        </is>
      </c>
      <c r="B27" s="44" t="inlineStr">
        <is>
          <t>Iluka Resources Limited</t>
        </is>
      </c>
      <c r="C27" s="44" t="inlineStr">
        <is>
          <t>AU</t>
        </is>
      </c>
      <c r="D27" s="44" t="inlineStr">
        <is>
          <t>ASX 200</t>
        </is>
      </c>
      <c r="E27" s="44" t="inlineStr">
        <is>
          <t>Basic Materials</t>
        </is>
      </c>
      <c r="F27" s="45" t="n">
        <v>3018364928</v>
      </c>
      <c r="G27" s="44" t="inlineStr">
        <is>
          <t>nightly refresh</t>
        </is>
      </c>
      <c r="H27" s="43" t="n">
        <v>136</v>
      </c>
      <c r="I27" s="44" t="inlineStr">
        <is>
          <t>No</t>
        </is>
      </c>
      <c r="J27" s="44" t="inlineStr">
        <is>
          <t>1988-01-29</t>
        </is>
      </c>
      <c r="K27" s="43" t="n">
        <v>6780</v>
      </c>
      <c r="L27" s="44" t="inlineStr">
        <is>
          <t>2000-01-03</t>
        </is>
      </c>
      <c r="M27" s="44" t="inlineStr">
        <is>
          <t>2026-08-26</t>
        </is>
      </c>
      <c r="N27" s="43" t="n">
        <v>390</v>
      </c>
      <c r="O27" s="46" t="n">
        <v>-22.5248</v>
      </c>
      <c r="P27" s="46" t="n">
        <v>-61.606</v>
      </c>
      <c r="Q27" s="46" t="n">
        <v>52.6325</v>
      </c>
      <c r="R27" s="46" t="n">
        <v>-24.2251</v>
      </c>
      <c r="S27" s="47">
        <f>IF($I27="Yes",$O27,"")</f>
        <v/>
      </c>
    </row>
    <row r="28">
      <c r="A28" s="48" t="inlineStr">
        <is>
          <t>IPX.AX</t>
        </is>
      </c>
      <c r="B28" s="49" t="inlineStr">
        <is>
          <t>IperionX Limited</t>
        </is>
      </c>
      <c r="C28" s="49" t="inlineStr">
        <is>
          <t>AU</t>
        </is>
      </c>
      <c r="D28" s="49" t="inlineStr">
        <is>
          <t>ASX 200</t>
        </is>
      </c>
      <c r="E28" s="49" t="inlineStr">
        <is>
          <t>Basic Materials</t>
        </is>
      </c>
      <c r="F28" s="50" t="n">
        <v>1061052864</v>
      </c>
      <c r="G28" s="49" t="inlineStr">
        <is>
          <t>nightly refresh</t>
        </is>
      </c>
      <c r="H28" s="48" t="n">
        <v>199</v>
      </c>
      <c r="I28" s="49" t="inlineStr">
        <is>
          <t>No</t>
        </is>
      </c>
      <c r="J28" s="49" t="inlineStr">
        <is>
          <t>2018-04-16</t>
        </is>
      </c>
      <c r="K28" s="48" t="n">
        <v>2119</v>
      </c>
      <c r="L28" s="49" t="inlineStr">
        <is>
          <t>2018-04-16</t>
        </is>
      </c>
      <c r="M28" s="49" t="inlineStr">
        <is>
          <t>2026-08-26</t>
        </is>
      </c>
      <c r="N28" s="48" t="n">
        <v>91</v>
      </c>
      <c r="O28" s="51" t="n">
        <v>-35.2884</v>
      </c>
      <c r="P28" s="51" t="n">
        <v>-77.35850000000001</v>
      </c>
      <c r="Q28" s="51" t="n">
        <v>343.9627</v>
      </c>
      <c r="R28" s="51" t="n">
        <v>-66.7572</v>
      </c>
      <c r="S28" s="52">
        <f>IF($I28="Yes",$O28,"")</f>
        <v/>
      </c>
    </row>
    <row r="29">
      <c r="A29" s="43" t="inlineStr">
        <is>
          <t>JHX.AX</t>
        </is>
      </c>
      <c r="B29" s="44" t="inlineStr">
        <is>
          <t>James Hardie Industries plc</t>
        </is>
      </c>
      <c r="C29" s="44" t="inlineStr">
        <is>
          <t>AU</t>
        </is>
      </c>
      <c r="D29" s="44" t="inlineStr">
        <is>
          <t>ASX 200</t>
        </is>
      </c>
      <c r="E29" s="44" t="inlineStr">
        <is>
          <t>Basic Materials</t>
        </is>
      </c>
      <c r="F29" s="45" t="n">
        <v>24231010304</v>
      </c>
      <c r="G29" s="44" t="inlineStr">
        <is>
          <t>nightly refresh</t>
        </is>
      </c>
      <c r="H29" s="43" t="n">
        <v>29</v>
      </c>
      <c r="I29" s="44" t="inlineStr">
        <is>
          <t>Yes</t>
        </is>
      </c>
      <c r="J29" s="44" t="inlineStr">
        <is>
          <t>1988-01-29</t>
        </is>
      </c>
      <c r="K29" s="43" t="n">
        <v>6780</v>
      </c>
      <c r="L29" s="44" t="inlineStr">
        <is>
          <t>2000-01-03</t>
        </is>
      </c>
      <c r="M29" s="44" t="inlineStr">
        <is>
          <t>2026-08-26</t>
        </is>
      </c>
      <c r="N29" s="43" t="n">
        <v>374</v>
      </c>
      <c r="O29" s="46" t="n">
        <v>-20.9062</v>
      </c>
      <c r="P29" s="46" t="n">
        <v>-60.5333</v>
      </c>
      <c r="Q29" s="46" t="n">
        <v>51.9173</v>
      </c>
      <c r="R29" s="46" t="n">
        <v>-3.6945</v>
      </c>
      <c r="S29" s="47">
        <f>IF($I29="Yes",$O29,"")</f>
        <v/>
      </c>
    </row>
    <row r="30">
      <c r="A30" s="48" t="inlineStr">
        <is>
          <t>KCN.AX</t>
        </is>
      </c>
      <c r="B30" s="49" t="inlineStr">
        <is>
          <t>Kingsgate Consolidated Limited</t>
        </is>
      </c>
      <c r="C30" s="49" t="inlineStr">
        <is>
          <t>AU</t>
        </is>
      </c>
      <c r="D30" s="49" t="inlineStr">
        <is>
          <t>ASX 200</t>
        </is>
      </c>
      <c r="E30" s="49" t="inlineStr">
        <is>
          <t>Basic Materials</t>
        </is>
      </c>
      <c r="F30" s="50" t="n">
        <v>1410055296</v>
      </c>
      <c r="G30" s="49" t="inlineStr">
        <is>
          <t>nightly refresh</t>
        </is>
      </c>
      <c r="H30" s="48" t="n">
        <v>186</v>
      </c>
      <c r="I30" s="49" t="inlineStr">
        <is>
          <t>No</t>
        </is>
      </c>
      <c r="J30" s="49" t="inlineStr">
        <is>
          <t>1988-04-29</t>
        </is>
      </c>
      <c r="K30" s="48" t="n">
        <v>6780</v>
      </c>
      <c r="L30" s="49" t="inlineStr">
        <is>
          <t>2000-01-03</t>
        </is>
      </c>
      <c r="M30" s="49" t="inlineStr">
        <is>
          <t>2026-08-26</t>
        </is>
      </c>
      <c r="N30" s="48" t="n">
        <v>339</v>
      </c>
      <c r="O30" s="51" t="n">
        <v>-32.3948</v>
      </c>
      <c r="P30" s="51" t="n">
        <v>-82.8004</v>
      </c>
      <c r="Q30" s="51" t="n">
        <v>88.7938</v>
      </c>
      <c r="R30" s="51" t="n">
        <v>-25.0699</v>
      </c>
      <c r="S30" s="52">
        <f>IF($I30="Yes",$O30,"")</f>
        <v/>
      </c>
    </row>
    <row r="31">
      <c r="A31" s="43" t="inlineStr">
        <is>
          <t>LTR.AX</t>
        </is>
      </c>
      <c r="B31" s="44" t="inlineStr">
        <is>
          <t>Liontown Limited</t>
        </is>
      </c>
      <c r="C31" s="44" t="inlineStr">
        <is>
          <t>AU</t>
        </is>
      </c>
      <c r="D31" s="44" t="inlineStr">
        <is>
          <t>ASX 200</t>
        </is>
      </c>
      <c r="E31" s="44" t="inlineStr">
        <is>
          <t>Basic Materials</t>
        </is>
      </c>
      <c r="F31" s="45" t="n">
        <v>3640081920</v>
      </c>
      <c r="G31" s="44" t="inlineStr">
        <is>
          <t>nightly refresh</t>
        </is>
      </c>
      <c r="H31" s="43" t="n">
        <v>126</v>
      </c>
      <c r="I31" s="44" t="inlineStr">
        <is>
          <t>No</t>
        </is>
      </c>
      <c r="J31" s="44" t="inlineStr">
        <is>
          <t>2006-12-22</t>
        </is>
      </c>
      <c r="K31" s="43" t="n">
        <v>4975</v>
      </c>
      <c r="L31" s="44" t="inlineStr">
        <is>
          <t>2006-12-22</t>
        </is>
      </c>
      <c r="M31" s="44" t="inlineStr">
        <is>
          <t>2026-08-26</t>
        </is>
      </c>
      <c r="N31" s="43" t="n">
        <v>166</v>
      </c>
      <c r="O31" s="46" t="n">
        <v>-43.077</v>
      </c>
      <c r="P31" s="46" t="n">
        <v>-93.65089999999999</v>
      </c>
      <c r="Q31" s="46" t="n">
        <v>254.1372</v>
      </c>
      <c r="R31" s="46" t="n">
        <v>-54.717</v>
      </c>
      <c r="S31" s="47">
        <f>IF($I31="Yes",$O31,"")</f>
        <v/>
      </c>
    </row>
    <row r="32">
      <c r="A32" s="48" t="inlineStr">
        <is>
          <t>LYC.AX</t>
        </is>
      </c>
      <c r="B32" s="49" t="inlineStr">
        <is>
          <t>Lynas Rare Earths Limited</t>
        </is>
      </c>
      <c r="C32" s="49" t="inlineStr">
        <is>
          <t>AU</t>
        </is>
      </c>
      <c r="D32" s="49" t="inlineStr">
        <is>
          <t>ASX 200</t>
        </is>
      </c>
      <c r="E32" s="49" t="inlineStr">
        <is>
          <t>Basic Materials</t>
        </is>
      </c>
      <c r="F32" s="50" t="n">
        <v>16506642432</v>
      </c>
      <c r="G32" s="49" t="inlineStr">
        <is>
          <t>nightly refresh</t>
        </is>
      </c>
      <c r="H32" s="48" t="n">
        <v>42</v>
      </c>
      <c r="I32" s="49" t="inlineStr">
        <is>
          <t>Yes</t>
        </is>
      </c>
      <c r="J32" s="49" t="inlineStr">
        <is>
          <t>1999-06-10</t>
        </is>
      </c>
      <c r="K32" s="48" t="n">
        <v>6780</v>
      </c>
      <c r="L32" s="49" t="inlineStr">
        <is>
          <t>2000-01-03</t>
        </is>
      </c>
      <c r="M32" s="49" t="inlineStr">
        <is>
          <t>2026-08-26</t>
        </is>
      </c>
      <c r="N32" s="48" t="n">
        <v>302</v>
      </c>
      <c r="O32" s="51" t="n">
        <v>-37.9311</v>
      </c>
      <c r="P32" s="51" t="n">
        <v>-92.1875</v>
      </c>
      <c r="Q32" s="51" t="n">
        <v>153.9971</v>
      </c>
      <c r="R32" s="51" t="n">
        <v>-28.7439</v>
      </c>
      <c r="S32" s="52">
        <f>IF($I32="Yes",$O32,"")</f>
        <v/>
      </c>
    </row>
    <row r="33">
      <c r="A33" s="43" t="inlineStr">
        <is>
          <t>MI6.AX</t>
        </is>
      </c>
      <c r="B33" s="44" t="inlineStr">
        <is>
          <t>Minerals 260 Limited</t>
        </is>
      </c>
      <c r="C33" s="44" t="inlineStr">
        <is>
          <t>AU</t>
        </is>
      </c>
      <c r="D33" s="44" t="inlineStr">
        <is>
          <t>ASX 200</t>
        </is>
      </c>
      <c r="E33" s="44" t="inlineStr">
        <is>
          <t>Basic Materials</t>
        </is>
      </c>
      <c r="F33" s="45" t="n">
        <v>2032190080</v>
      </c>
      <c r="G33" s="44" t="inlineStr">
        <is>
          <t>nightly refresh</t>
        </is>
      </c>
      <c r="H33" s="43" t="n">
        <v>161</v>
      </c>
      <c r="I33" s="44" t="inlineStr">
        <is>
          <t>No</t>
        </is>
      </c>
      <c r="J33" s="44" t="inlineStr">
        <is>
          <t>2021-10-12</t>
        </is>
      </c>
      <c r="K33" s="43" t="n">
        <v>1232</v>
      </c>
      <c r="L33" s="44" t="inlineStr">
        <is>
          <t>2021-10-12</t>
        </is>
      </c>
      <c r="M33" s="44" t="inlineStr">
        <is>
          <t>2026-08-26</t>
        </is>
      </c>
      <c r="N33" s="43" t="n">
        <v>45</v>
      </c>
      <c r="O33" s="46" t="n">
        <v>-45.2676</v>
      </c>
      <c r="P33" s="46" t="n">
        <v>-83.432</v>
      </c>
      <c r="Q33" s="46" t="n">
        <v>185.2608</v>
      </c>
      <c r="R33" s="46" t="n">
        <v>-5.5</v>
      </c>
      <c r="S33" s="47">
        <f>IF($I33="Yes",$O33,"")</f>
        <v/>
      </c>
    </row>
    <row r="34">
      <c r="A34" s="48" t="inlineStr">
        <is>
          <t>MIN.AX</t>
        </is>
      </c>
      <c r="B34" s="49" t="inlineStr">
        <is>
          <t>Mineral Resources Limited</t>
        </is>
      </c>
      <c r="C34" s="49" t="inlineStr">
        <is>
          <t>AU</t>
        </is>
      </c>
      <c r="D34" s="49" t="inlineStr">
        <is>
          <t>ASX 200</t>
        </is>
      </c>
      <c r="E34" s="49" t="inlineStr">
        <is>
          <t>Basic Materials</t>
        </is>
      </c>
      <c r="F34" s="50" t="n">
        <v>12978380800</v>
      </c>
      <c r="G34" s="49" t="inlineStr">
        <is>
          <t>nightly refresh</t>
        </is>
      </c>
      <c r="H34" s="48" t="n">
        <v>50</v>
      </c>
      <c r="I34" s="49" t="inlineStr">
        <is>
          <t>Yes</t>
        </is>
      </c>
      <c r="J34" s="49" t="inlineStr">
        <is>
          <t>2006-07-28</t>
        </is>
      </c>
      <c r="K34" s="48" t="n">
        <v>5080</v>
      </c>
      <c r="L34" s="49" t="inlineStr">
        <is>
          <t>2006-07-28</t>
        </is>
      </c>
      <c r="M34" s="49" t="inlineStr">
        <is>
          <t>2026-08-26</t>
        </is>
      </c>
      <c r="N34" s="48" t="n">
        <v>272</v>
      </c>
      <c r="O34" s="51" t="n">
        <v>-25.6434</v>
      </c>
      <c r="P34" s="51" t="n">
        <v>-81.94580000000001</v>
      </c>
      <c r="Q34" s="51" t="n">
        <v>105.6325</v>
      </c>
      <c r="R34" s="51" t="n">
        <v>-10.7419</v>
      </c>
      <c r="S34" s="52">
        <f>IF($I34="Yes",$O34,"")</f>
        <v/>
      </c>
    </row>
    <row r="35">
      <c r="A35" s="43" t="inlineStr">
        <is>
          <t>NEM.AX</t>
        </is>
      </c>
      <c r="B35" s="44" t="inlineStr">
        <is>
          <t>Newmont Corporation</t>
        </is>
      </c>
      <c r="C35" s="44" t="inlineStr">
        <is>
          <t>AU</t>
        </is>
      </c>
      <c r="D35" s="44" t="inlineStr">
        <is>
          <t>ASX 200</t>
        </is>
      </c>
      <c r="E35" s="44" t="inlineStr">
        <is>
          <t>Basic Materials</t>
        </is>
      </c>
      <c r="F35" s="45" t="n">
        <v>192056492032</v>
      </c>
      <c r="G35" s="44" t="inlineStr">
        <is>
          <t>nightly refresh</t>
        </is>
      </c>
      <c r="H35" s="43" t="n">
        <v>4</v>
      </c>
      <c r="I35" s="44" t="inlineStr">
        <is>
          <t>Yes</t>
        </is>
      </c>
      <c r="J35" s="44" t="inlineStr">
        <is>
          <t>2023-10-27</t>
        </is>
      </c>
      <c r="K35" s="43" t="n">
        <v>716</v>
      </c>
      <c r="L35" s="44" t="inlineStr">
        <is>
          <t>2023-10-27</t>
        </is>
      </c>
      <c r="M35" s="44" t="inlineStr">
        <is>
          <t>2026-08-26</t>
        </is>
      </c>
      <c r="N35" s="43" t="n">
        <v>39</v>
      </c>
      <c r="O35" s="46" t="n">
        <v>-18.3311</v>
      </c>
      <c r="P35" s="46" t="n">
        <v>-32.5803</v>
      </c>
      <c r="Q35" s="46" t="n">
        <v>84.3784</v>
      </c>
      <c r="R35" s="46" t="n">
        <v>-2.5431</v>
      </c>
      <c r="S35" s="47">
        <f>IF($I35="Yes",$O35,"")</f>
        <v/>
      </c>
    </row>
    <row r="36">
      <c r="A36" s="48" t="inlineStr">
        <is>
          <t>NIC.AX</t>
        </is>
      </c>
      <c r="B36" s="49" t="inlineStr">
        <is>
          <t>Nickel Industries Limited</t>
        </is>
      </c>
      <c r="C36" s="49" t="inlineStr">
        <is>
          <t>AU</t>
        </is>
      </c>
      <c r="D36" s="49" t="inlineStr">
        <is>
          <t>ASX 200</t>
        </is>
      </c>
      <c r="E36" s="49" t="inlineStr">
        <is>
          <t>Basic Materials</t>
        </is>
      </c>
      <c r="F36" s="50" t="n">
        <v>3690645760</v>
      </c>
      <c r="G36" s="49" t="inlineStr">
        <is>
          <t>nightly refresh</t>
        </is>
      </c>
      <c r="H36" s="48" t="n">
        <v>125</v>
      </c>
      <c r="I36" s="49" t="inlineStr">
        <is>
          <t>No</t>
        </is>
      </c>
      <c r="J36" s="49" t="inlineStr">
        <is>
          <t>2018-08-20</t>
        </is>
      </c>
      <c r="K36" s="48" t="n">
        <v>2031</v>
      </c>
      <c r="L36" s="49" t="inlineStr">
        <is>
          <t>2018-08-20</t>
        </is>
      </c>
      <c r="M36" s="49" t="inlineStr">
        <is>
          <t>2026-08-26</t>
        </is>
      </c>
      <c r="N36" s="48" t="n">
        <v>107</v>
      </c>
      <c r="O36" s="51" t="n">
        <v>-26.0963</v>
      </c>
      <c r="P36" s="51" t="n">
        <v>-60.0296</v>
      </c>
      <c r="Q36" s="51" t="n">
        <v>94.47750000000001</v>
      </c>
      <c r="R36" s="51" t="n">
        <v>-22.2222</v>
      </c>
      <c r="S36" s="52">
        <f>IF($I36="Yes",$O36,"")</f>
        <v/>
      </c>
    </row>
    <row r="37">
      <c r="A37" s="43" t="inlineStr">
        <is>
          <t>NST.AX</t>
        </is>
      </c>
      <c r="B37" s="44" t="inlineStr">
        <is>
          <t>Northern Star Resources Limited</t>
        </is>
      </c>
      <c r="C37" s="44" t="inlineStr">
        <is>
          <t>AU</t>
        </is>
      </c>
      <c r="D37" s="44" t="inlineStr">
        <is>
          <t>ASX 200</t>
        </is>
      </c>
      <c r="E37" s="44" t="inlineStr">
        <is>
          <t>Basic Materials</t>
        </is>
      </c>
      <c r="F37" s="45" t="n">
        <v>34679758848</v>
      </c>
      <c r="G37" s="44" t="inlineStr">
        <is>
          <t>nightly refresh</t>
        </is>
      </c>
      <c r="H37" s="43" t="n">
        <v>20</v>
      </c>
      <c r="I37" s="44" t="inlineStr">
        <is>
          <t>Yes</t>
        </is>
      </c>
      <c r="J37" s="44" t="inlineStr">
        <is>
          <t>2003-12-16</t>
        </is>
      </c>
      <c r="K37" s="43" t="n">
        <v>5749</v>
      </c>
      <c r="L37" s="44" t="inlineStr">
        <is>
          <t>2003-12-16</t>
        </is>
      </c>
      <c r="M37" s="44" t="inlineStr">
        <is>
          <t>2026-08-26</t>
        </is>
      </c>
      <c r="N37" s="43" t="n">
        <v>273</v>
      </c>
      <c r="O37" s="46" t="n">
        <v>-26.9899</v>
      </c>
      <c r="P37" s="46" t="n">
        <v>-83.33329999999999</v>
      </c>
      <c r="Q37" s="46" t="n">
        <v>144.4807</v>
      </c>
      <c r="R37" s="46" t="n">
        <v>-23.9743</v>
      </c>
      <c r="S37" s="47">
        <f>IF($I37="Yes",$O37,"")</f>
        <v/>
      </c>
    </row>
    <row r="38">
      <c r="A38" s="48" t="inlineStr">
        <is>
          <t>OBM.AX</t>
        </is>
      </c>
      <c r="B38" s="49" t="inlineStr">
        <is>
          <t>Ora Banda Mining Limited</t>
        </is>
      </c>
      <c r="C38" s="49" t="inlineStr">
        <is>
          <t>AU</t>
        </is>
      </c>
      <c r="D38" s="49" t="inlineStr">
        <is>
          <t>ASX 200</t>
        </is>
      </c>
      <c r="E38" s="49" t="inlineStr">
        <is>
          <t>Basic Materials</t>
        </is>
      </c>
      <c r="F38" s="50" t="n">
        <v>3036053760</v>
      </c>
      <c r="G38" s="49" t="inlineStr">
        <is>
          <t>nightly refresh</t>
        </is>
      </c>
      <c r="H38" s="48" t="n">
        <v>135</v>
      </c>
      <c r="I38" s="49" t="inlineStr">
        <is>
          <t>No</t>
        </is>
      </c>
      <c r="J38" s="49" t="inlineStr">
        <is>
          <t>2007-12-14</t>
        </is>
      </c>
      <c r="K38" s="48" t="n">
        <v>4728</v>
      </c>
      <c r="L38" s="49" t="inlineStr">
        <is>
          <t>2007-12-14</t>
        </is>
      </c>
      <c r="M38" s="49" t="inlineStr">
        <is>
          <t>2026-08-26</t>
        </is>
      </c>
      <c r="N38" s="48" t="n">
        <v>95</v>
      </c>
      <c r="O38" s="51" t="n">
        <v>-43.6727</v>
      </c>
      <c r="P38" s="51" t="n">
        <v>-95.2542</v>
      </c>
      <c r="Q38" s="51" t="n">
        <v>184.1117</v>
      </c>
      <c r="R38" s="51" t="n">
        <v>-6.1047</v>
      </c>
      <c r="S38" s="52">
        <f>IF($I38="Yes",$O38,"")</f>
        <v/>
      </c>
    </row>
    <row r="39">
      <c r="A39" s="43" t="inlineStr">
        <is>
          <t>ORI.AX</t>
        </is>
      </c>
      <c r="B39" s="44" t="inlineStr">
        <is>
          <t>Orica Limited</t>
        </is>
      </c>
      <c r="C39" s="44" t="inlineStr">
        <is>
          <t>AU</t>
        </is>
      </c>
      <c r="D39" s="44" t="inlineStr">
        <is>
          <t>ASX 200</t>
        </is>
      </c>
      <c r="E39" s="44" t="inlineStr">
        <is>
          <t>Basic Materials</t>
        </is>
      </c>
      <c r="F39" s="45" t="n">
        <v>10230383616</v>
      </c>
      <c r="G39" s="44" t="inlineStr">
        <is>
          <t>nightly refresh</t>
        </is>
      </c>
      <c r="H39" s="43" t="n">
        <v>65</v>
      </c>
      <c r="I39" s="44" t="inlineStr">
        <is>
          <t>No</t>
        </is>
      </c>
      <c r="J39" s="44" t="inlineStr">
        <is>
          <t>1988-01-29</t>
        </is>
      </c>
      <c r="K39" s="43" t="n">
        <v>6780</v>
      </c>
      <c r="L39" s="44" t="inlineStr">
        <is>
          <t>2000-01-03</t>
        </is>
      </c>
      <c r="M39" s="44" t="inlineStr">
        <is>
          <t>2026-08-26</t>
        </is>
      </c>
      <c r="N39" s="43" t="n">
        <v>356</v>
      </c>
      <c r="O39" s="46" t="n">
        <v>-17.2821</v>
      </c>
      <c r="P39" s="46" t="n">
        <v>-61.7081</v>
      </c>
      <c r="Q39" s="46" t="n">
        <v>40.5711</v>
      </c>
      <c r="R39" s="46" t="n">
        <v>-14.6811</v>
      </c>
      <c r="S39" s="47">
        <f>IF($I39="Yes",$O39,"")</f>
        <v/>
      </c>
    </row>
    <row r="40">
      <c r="A40" s="48" t="inlineStr">
        <is>
          <t>PDI.AX</t>
        </is>
      </c>
      <c r="B40" s="49" t="inlineStr">
        <is>
          <t>PDI Gold Limited</t>
        </is>
      </c>
      <c r="C40" s="49" t="inlineStr">
        <is>
          <t>AU</t>
        </is>
      </c>
      <c r="D40" s="49" t="inlineStr">
        <is>
          <t>ASX 200</t>
        </is>
      </c>
      <c r="E40" s="49" t="inlineStr">
        <is>
          <t>Basic Materials</t>
        </is>
      </c>
      <c r="F40" s="50" t="n">
        <v>4422072832</v>
      </c>
      <c r="G40" s="49" t="inlineStr">
        <is>
          <t>nightly refresh</t>
        </is>
      </c>
      <c r="H40" s="48" t="n">
        <v>118</v>
      </c>
      <c r="I40" s="49" t="inlineStr">
        <is>
          <t>No</t>
        </is>
      </c>
      <c r="J40" s="49" t="inlineStr">
        <is>
          <t>2010-12-01</t>
        </is>
      </c>
      <c r="K40" s="48" t="n">
        <v>3978</v>
      </c>
      <c r="L40" s="49" t="inlineStr">
        <is>
          <t>2010-12-01</t>
        </is>
      </c>
      <c r="M40" s="49" t="inlineStr">
        <is>
          <t>2026-08-26</t>
        </is>
      </c>
      <c r="N40" s="48" t="n">
        <v>120</v>
      </c>
      <c r="O40" s="51" t="n">
        <v>-42.3248</v>
      </c>
      <c r="P40" s="51" t="n">
        <v>-84.7619</v>
      </c>
      <c r="Q40" s="51" t="n">
        <v>287.8712</v>
      </c>
      <c r="R40" s="51" t="n">
        <v>-11.7703</v>
      </c>
      <c r="S40" s="52">
        <f>IF($I40="Yes",$O40,"")</f>
        <v/>
      </c>
    </row>
    <row r="41">
      <c r="A41" s="43" t="inlineStr">
        <is>
          <t>PLS.AX</t>
        </is>
      </c>
      <c r="B41" s="44" t="inlineStr">
        <is>
          <t>PLS Group Limited</t>
        </is>
      </c>
      <c r="C41" s="44" t="inlineStr">
        <is>
          <t>AU</t>
        </is>
      </c>
      <c r="D41" s="44" t="inlineStr">
        <is>
          <t>ASX 200</t>
        </is>
      </c>
      <c r="E41" s="44" t="inlineStr">
        <is>
          <t>Basic Materials</t>
        </is>
      </c>
      <c r="F41" s="45" t="n">
        <v>16601652224</v>
      </c>
      <c r="G41" s="44" t="inlineStr">
        <is>
          <t>nightly refresh</t>
        </is>
      </c>
      <c r="H41" s="43" t="n">
        <v>41</v>
      </c>
      <c r="I41" s="44" t="inlineStr">
        <is>
          <t>Yes</t>
        </is>
      </c>
      <c r="J41" s="44" t="inlineStr">
        <is>
          <t>2007-09-19</t>
        </is>
      </c>
      <c r="K41" s="43" t="n">
        <v>4790</v>
      </c>
      <c r="L41" s="44" t="inlineStr">
        <is>
          <t>2007-09-19</t>
        </is>
      </c>
      <c r="M41" s="44" t="inlineStr">
        <is>
          <t>2026-08-26</t>
        </is>
      </c>
      <c r="N41" s="43" t="n">
        <v>171</v>
      </c>
      <c r="O41" s="46" t="n">
        <v>-34.4054</v>
      </c>
      <c r="P41" s="46" t="n">
        <v>-84.18089999999999</v>
      </c>
      <c r="Q41" s="46" t="n">
        <v>244.7591</v>
      </c>
      <c r="R41" s="46" t="n">
        <v>-22.3201</v>
      </c>
      <c r="S41" s="47">
        <f>IF($I41="Yes",$O41,"")</f>
        <v/>
      </c>
    </row>
    <row r="42">
      <c r="A42" s="48" t="inlineStr">
        <is>
          <t>PNR.AX</t>
        </is>
      </c>
      <c r="B42" s="49" t="inlineStr">
        <is>
          <t>Pantoro Gold Limited</t>
        </is>
      </c>
      <c r="C42" s="49" t="inlineStr">
        <is>
          <t>AU</t>
        </is>
      </c>
      <c r="D42" s="49" t="inlineStr">
        <is>
          <t>ASX 200</t>
        </is>
      </c>
      <c r="E42" s="49" t="inlineStr">
        <is>
          <t>Basic Materials</t>
        </is>
      </c>
      <c r="F42" s="50" t="n">
        <v>1060057536</v>
      </c>
      <c r="G42" s="49" t="inlineStr">
        <is>
          <t>nightly refresh</t>
        </is>
      </c>
      <c r="H42" s="48" t="n">
        <v>200</v>
      </c>
      <c r="I42" s="49" t="inlineStr">
        <is>
          <t>No</t>
        </is>
      </c>
      <c r="J42" s="49" t="inlineStr">
        <is>
          <t>1990-11-30</t>
        </is>
      </c>
      <c r="K42" s="48" t="n">
        <v>6660</v>
      </c>
      <c r="L42" s="49" t="inlineStr">
        <is>
          <t>2000-06-19</t>
        </is>
      </c>
      <c r="M42" s="49" t="inlineStr">
        <is>
          <t>2026-08-26</t>
        </is>
      </c>
      <c r="N42" s="48" t="n">
        <v>180</v>
      </c>
      <c r="O42" s="51" t="n">
        <v>-39.6927</v>
      </c>
      <c r="P42" s="51" t="n">
        <v>-86.2745</v>
      </c>
      <c r="Q42" s="51" t="n">
        <v>134.5462</v>
      </c>
      <c r="R42" s="51" t="n">
        <v>-58.2451</v>
      </c>
      <c r="S42" s="52">
        <f>IF($I42="Yes",$O42,"")</f>
        <v/>
      </c>
    </row>
    <row r="43">
      <c r="A43" s="43" t="inlineStr">
        <is>
          <t>PRN.AX</t>
        </is>
      </c>
      <c r="B43" s="44" t="inlineStr">
        <is>
          <t>Perenti Limited</t>
        </is>
      </c>
      <c r="C43" s="44" t="inlineStr">
        <is>
          <t>AU</t>
        </is>
      </c>
      <c r="D43" s="44" t="inlineStr">
        <is>
          <t>ASX 200</t>
        </is>
      </c>
      <c r="E43" s="44" t="inlineStr">
        <is>
          <t>Basic Materials</t>
        </is>
      </c>
      <c r="F43" s="45" t="n">
        <v>2150040832</v>
      </c>
      <c r="G43" s="44" t="inlineStr">
        <is>
          <t>nightly refresh</t>
        </is>
      </c>
      <c r="H43" s="43" t="n">
        <v>160</v>
      </c>
      <c r="I43" s="44" t="inlineStr">
        <is>
          <t>No</t>
        </is>
      </c>
      <c r="J43" s="44" t="inlineStr">
        <is>
          <t>1994-01-31</t>
        </is>
      </c>
      <c r="K43" s="43" t="n">
        <v>6780</v>
      </c>
      <c r="L43" s="44" t="inlineStr">
        <is>
          <t>2000-01-03</t>
        </is>
      </c>
      <c r="M43" s="44" t="inlineStr">
        <is>
          <t>2026-08-26</t>
        </is>
      </c>
      <c r="N43" s="43" t="n">
        <v>318</v>
      </c>
      <c r="O43" s="46" t="n">
        <v>-32.0305</v>
      </c>
      <c r="P43" s="46" t="n">
        <v>-83.8481</v>
      </c>
      <c r="Q43" s="46" t="n">
        <v>117.4235</v>
      </c>
      <c r="R43" s="46" t="n">
        <v>-23.3437</v>
      </c>
      <c r="S43" s="47">
        <f>IF($I43="Yes",$O43,"")</f>
        <v/>
      </c>
    </row>
    <row r="44">
      <c r="A44" s="48" t="inlineStr">
        <is>
          <t>PRU.AX</t>
        </is>
      </c>
      <c r="B44" s="49" t="inlineStr">
        <is>
          <t>Perseus Mining Limited</t>
        </is>
      </c>
      <c r="C44" s="49" t="inlineStr">
        <is>
          <t>AU</t>
        </is>
      </c>
      <c r="D44" s="49" t="inlineStr">
        <is>
          <t>ASX 200</t>
        </is>
      </c>
      <c r="E44" s="49" t="inlineStr">
        <is>
          <t>Basic Materials</t>
        </is>
      </c>
      <c r="F44" s="50" t="n">
        <v>8931595264</v>
      </c>
      <c r="G44" s="49" t="inlineStr">
        <is>
          <t>nightly refresh</t>
        </is>
      </c>
      <c r="H44" s="48" t="n">
        <v>73</v>
      </c>
      <c r="I44" s="49" t="inlineStr">
        <is>
          <t>No</t>
        </is>
      </c>
      <c r="J44" s="49" t="inlineStr">
        <is>
          <t>2004-09-21</t>
        </is>
      </c>
      <c r="K44" s="48" t="n">
        <v>5549</v>
      </c>
      <c r="L44" s="49" t="inlineStr">
        <is>
          <t>2004-09-21</t>
        </is>
      </c>
      <c r="M44" s="49" t="inlineStr">
        <is>
          <t>2026-08-26</t>
        </is>
      </c>
      <c r="N44" s="48" t="n">
        <v>253</v>
      </c>
      <c r="O44" s="51" t="n">
        <v>-28.7622</v>
      </c>
      <c r="P44" s="51" t="n">
        <v>-90.2222</v>
      </c>
      <c r="Q44" s="51" t="n">
        <v>103.8557</v>
      </c>
      <c r="R44" s="51" t="n">
        <v>-1.3235</v>
      </c>
      <c r="S44" s="52">
        <f>IF($I44="Yes",$O44,"")</f>
        <v/>
      </c>
    </row>
    <row r="45">
      <c r="A45" s="43" t="inlineStr">
        <is>
          <t>RIO.AX</t>
        </is>
      </c>
      <c r="B45" s="44" t="inlineStr">
        <is>
          <t>Rio Tinto Group</t>
        </is>
      </c>
      <c r="C45" s="44" t="inlineStr">
        <is>
          <t>AU</t>
        </is>
      </c>
      <c r="D45" s="44" t="inlineStr">
        <is>
          <t>ASX 200</t>
        </is>
      </c>
      <c r="E45" s="44" t="inlineStr">
        <is>
          <t>Basic Materials</t>
        </is>
      </c>
      <c r="F45" s="45" t="n">
        <v>290611265536</v>
      </c>
      <c r="G45" s="44" t="inlineStr">
        <is>
          <t>nightly refresh</t>
        </is>
      </c>
      <c r="H45" s="43" t="n">
        <v>2</v>
      </c>
      <c r="I45" s="44" t="inlineStr">
        <is>
          <t>Yes</t>
        </is>
      </c>
      <c r="J45" s="44" t="inlineStr">
        <is>
          <t>1988-01-29</t>
        </is>
      </c>
      <c r="K45" s="43" t="n">
        <v>6780</v>
      </c>
      <c r="L45" s="44" t="inlineStr">
        <is>
          <t>2000-01-03</t>
        </is>
      </c>
      <c r="M45" s="44" t="inlineStr">
        <is>
          <t>2026-08-26</t>
        </is>
      </c>
      <c r="N45" s="43" t="n">
        <v>383</v>
      </c>
      <c r="O45" s="46" t="n">
        <v>-16.9899</v>
      </c>
      <c r="P45" s="46" t="n">
        <v>-80.3612</v>
      </c>
      <c r="Q45" s="46" t="n">
        <v>42.2751</v>
      </c>
      <c r="R45" s="46" t="n">
        <v>-8.277200000000001</v>
      </c>
      <c r="S45" s="47">
        <f>IF($I45="Yes",$O45,"")</f>
        <v/>
      </c>
    </row>
    <row r="46">
      <c r="A46" s="48" t="inlineStr">
        <is>
          <t>RMS.AX</t>
        </is>
      </c>
      <c r="B46" s="49" t="inlineStr">
        <is>
          <t>Ramelius Resources Limited</t>
        </is>
      </c>
      <c r="C46" s="49" t="inlineStr">
        <is>
          <t>AU</t>
        </is>
      </c>
      <c r="D46" s="49" t="inlineStr">
        <is>
          <t>ASX 200</t>
        </is>
      </c>
      <c r="E46" s="49" t="inlineStr">
        <is>
          <t>Basic Materials</t>
        </is>
      </c>
      <c r="F46" s="50" t="n">
        <v>7387744256</v>
      </c>
      <c r="G46" s="49" t="inlineStr">
        <is>
          <t>nightly refresh</t>
        </is>
      </c>
      <c r="H46" s="48" t="n">
        <v>79</v>
      </c>
      <c r="I46" s="49" t="inlineStr">
        <is>
          <t>No</t>
        </is>
      </c>
      <c r="J46" s="49" t="inlineStr">
        <is>
          <t>2003-03-28</t>
        </is>
      </c>
      <c r="K46" s="48" t="n">
        <v>5936</v>
      </c>
      <c r="L46" s="49" t="inlineStr">
        <is>
          <t>2003-03-28</t>
        </is>
      </c>
      <c r="M46" s="49" t="inlineStr">
        <is>
          <t>2026-08-26</t>
        </is>
      </c>
      <c r="N46" s="48" t="n">
        <v>257</v>
      </c>
      <c r="O46" s="51" t="n">
        <v>-36.7649</v>
      </c>
      <c r="P46" s="51" t="n">
        <v>-84.07080000000001</v>
      </c>
      <c r="Q46" s="51" t="n">
        <v>133.3093</v>
      </c>
      <c r="R46" s="51" t="n">
        <v>-21.124</v>
      </c>
      <c r="S46" s="52">
        <f>IF($I46="Yes",$O46,"")</f>
        <v/>
      </c>
    </row>
    <row r="47">
      <c r="A47" s="43" t="inlineStr">
        <is>
          <t>RRL.AX</t>
        </is>
      </c>
      <c r="B47" s="44" t="inlineStr">
        <is>
          <t>Regis Resources Limited</t>
        </is>
      </c>
      <c r="C47" s="44" t="inlineStr">
        <is>
          <t>AU</t>
        </is>
      </c>
      <c r="D47" s="44" t="inlineStr">
        <is>
          <t>ASX 200</t>
        </is>
      </c>
      <c r="E47" s="44" t="inlineStr">
        <is>
          <t>Basic Materials</t>
        </is>
      </c>
      <c r="F47" s="45" t="n">
        <v>6437799424</v>
      </c>
      <c r="G47" s="44" t="inlineStr">
        <is>
          <t>nightly refresh</t>
        </is>
      </c>
      <c r="H47" s="43" t="n">
        <v>89</v>
      </c>
      <c r="I47" s="44" t="inlineStr">
        <is>
          <t>No</t>
        </is>
      </c>
      <c r="J47" s="44" t="inlineStr">
        <is>
          <t>1988-01-29</t>
        </is>
      </c>
      <c r="K47" s="43" t="n">
        <v>6780</v>
      </c>
      <c r="L47" s="44" t="inlineStr">
        <is>
          <t>2000-01-03</t>
        </is>
      </c>
      <c r="M47" s="44" t="inlineStr">
        <is>
          <t>2026-08-26</t>
        </is>
      </c>
      <c r="N47" s="43" t="n">
        <v>281</v>
      </c>
      <c r="O47" s="46" t="n">
        <v>-31.9136</v>
      </c>
      <c r="P47" s="46" t="n">
        <v>-99.36360000000001</v>
      </c>
      <c r="Q47" s="46" t="n">
        <v>106.4821</v>
      </c>
      <c r="R47" s="46" t="n">
        <v>-12.1097</v>
      </c>
      <c r="S47" s="47">
        <f>IF($I47="Yes",$O47,"")</f>
        <v/>
      </c>
    </row>
    <row r="48">
      <c r="A48" s="48" t="inlineStr">
        <is>
          <t>RSG.AX</t>
        </is>
      </c>
      <c r="B48" s="49" t="inlineStr">
        <is>
          <t>Resolute Mining Limited</t>
        </is>
      </c>
      <c r="C48" s="49" t="inlineStr">
        <is>
          <t>AU</t>
        </is>
      </c>
      <c r="D48" s="49" t="inlineStr">
        <is>
          <t>ASX 200</t>
        </is>
      </c>
      <c r="E48" s="49" t="inlineStr">
        <is>
          <t>Basic Materials</t>
        </is>
      </c>
      <c r="F48" s="50" t="n">
        <v>2938949120</v>
      </c>
      <c r="G48" s="49" t="inlineStr">
        <is>
          <t>nightly refresh</t>
        </is>
      </c>
      <c r="H48" s="48" t="n">
        <v>139</v>
      </c>
      <c r="I48" s="49" t="inlineStr">
        <is>
          <t>No</t>
        </is>
      </c>
      <c r="J48" s="49" t="inlineStr">
        <is>
          <t>1988-01-29</t>
        </is>
      </c>
      <c r="K48" s="48" t="n">
        <v>6780</v>
      </c>
      <c r="L48" s="49" t="inlineStr">
        <is>
          <t>2000-01-03</t>
        </is>
      </c>
      <c r="M48" s="49" t="inlineStr">
        <is>
          <t>2026-08-26</t>
        </is>
      </c>
      <c r="N48" s="48" t="n">
        <v>342</v>
      </c>
      <c r="O48" s="51" t="n">
        <v>-39.8073</v>
      </c>
      <c r="P48" s="51" t="n">
        <v>-84.845</v>
      </c>
      <c r="Q48" s="51" t="n">
        <v>91.7409</v>
      </c>
      <c r="R48" s="51" t="n">
        <v>-16.3205</v>
      </c>
      <c r="S48" s="52">
        <f>IF($I48="Yes",$O48,"")</f>
        <v/>
      </c>
    </row>
    <row r="49">
      <c r="A49" s="43" t="inlineStr">
        <is>
          <t>S32.AX</t>
        </is>
      </c>
      <c r="B49" s="44" t="inlineStr">
        <is>
          <t>South32 Limited</t>
        </is>
      </c>
      <c r="C49" s="44" t="inlineStr">
        <is>
          <t>AU</t>
        </is>
      </c>
      <c r="D49" s="44" t="inlineStr">
        <is>
          <t>ASX 200</t>
        </is>
      </c>
      <c r="E49" s="44" t="inlineStr">
        <is>
          <t>Basic Materials</t>
        </is>
      </c>
      <c r="F49" s="45" t="n">
        <v>23347722240</v>
      </c>
      <c r="G49" s="44" t="inlineStr">
        <is>
          <t>nightly refresh</t>
        </is>
      </c>
      <c r="H49" s="43" t="n">
        <v>30</v>
      </c>
      <c r="I49" s="44" t="inlineStr">
        <is>
          <t>Yes</t>
        </is>
      </c>
      <c r="J49" s="44" t="inlineStr">
        <is>
          <t>2015-05-18</t>
        </is>
      </c>
      <c r="K49" s="43" t="n">
        <v>2857</v>
      </c>
      <c r="L49" s="44" t="inlineStr">
        <is>
          <t>2015-05-18</t>
        </is>
      </c>
      <c r="M49" s="44" t="inlineStr">
        <is>
          <t>2026-08-26</t>
        </is>
      </c>
      <c r="N49" s="43" t="n">
        <v>152</v>
      </c>
      <c r="O49" s="46" t="n">
        <v>-23.3636</v>
      </c>
      <c r="P49" s="46" t="n">
        <v>-63.6735</v>
      </c>
      <c r="Q49" s="46" t="n">
        <v>55.1471</v>
      </c>
      <c r="R49" s="46" t="n">
        <v>-1.5326</v>
      </c>
      <c r="S49" s="47">
        <f>IF($I49="Yes",$O49,"")</f>
        <v/>
      </c>
    </row>
    <row r="50">
      <c r="A50" s="48" t="inlineStr">
        <is>
          <t>SFR.AX</t>
        </is>
      </c>
      <c r="B50" s="49" t="inlineStr">
        <is>
          <t>Sandfire Resources Limited</t>
        </is>
      </c>
      <c r="C50" s="49" t="inlineStr">
        <is>
          <t>AU</t>
        </is>
      </c>
      <c r="D50" s="49" t="inlineStr">
        <is>
          <t>ASX 200</t>
        </is>
      </c>
      <c r="E50" s="49" t="inlineStr">
        <is>
          <t>Basic Materials</t>
        </is>
      </c>
      <c r="F50" s="50" t="n">
        <v>10866236416</v>
      </c>
      <c r="G50" s="49" t="inlineStr">
        <is>
          <t>nightly refresh</t>
        </is>
      </c>
      <c r="H50" s="48" t="n">
        <v>58</v>
      </c>
      <c r="I50" s="49" t="inlineStr">
        <is>
          <t>Yes</t>
        </is>
      </c>
      <c r="J50" s="49" t="inlineStr">
        <is>
          <t>2004-03-03</t>
        </is>
      </c>
      <c r="K50" s="48" t="n">
        <v>5693</v>
      </c>
      <c r="L50" s="49" t="inlineStr">
        <is>
          <t>2004-03-03</t>
        </is>
      </c>
      <c r="M50" s="49" t="inlineStr">
        <is>
          <t>2026-08-26</t>
        </is>
      </c>
      <c r="N50" s="48" t="n">
        <v>287</v>
      </c>
      <c r="O50" s="51" t="n">
        <v>-26.9464</v>
      </c>
      <c r="P50" s="51" t="n">
        <v>-89.5835</v>
      </c>
      <c r="Q50" s="51" t="n">
        <v>311.9969</v>
      </c>
      <c r="R50" s="51" t="n">
        <v>-3.4</v>
      </c>
      <c r="S50" s="52">
        <f>IF($I50="Yes",$O50,"")</f>
        <v/>
      </c>
    </row>
    <row r="51">
      <c r="A51" s="43" t="inlineStr">
        <is>
          <t>SGM.AX</t>
        </is>
      </c>
      <c r="B51" s="44" t="inlineStr">
        <is>
          <t>Sims Limited</t>
        </is>
      </c>
      <c r="C51" s="44" t="inlineStr">
        <is>
          <t>AU</t>
        </is>
      </c>
      <c r="D51" s="44" t="inlineStr">
        <is>
          <t>ASX 200</t>
        </is>
      </c>
      <c r="E51" s="44" t="inlineStr">
        <is>
          <t>Basic Materials</t>
        </is>
      </c>
      <c r="F51" s="45" t="n">
        <v>4668509184</v>
      </c>
      <c r="G51" s="44" t="inlineStr">
        <is>
          <t>nightly refresh</t>
        </is>
      </c>
      <c r="H51" s="43" t="n">
        <v>114</v>
      </c>
      <c r="I51" s="44" t="inlineStr">
        <is>
          <t>No</t>
        </is>
      </c>
      <c r="J51" s="44" t="inlineStr">
        <is>
          <t>1991-11-29</t>
        </is>
      </c>
      <c r="K51" s="43" t="n">
        <v>6780</v>
      </c>
      <c r="L51" s="44" t="inlineStr">
        <is>
          <t>2000-01-03</t>
        </is>
      </c>
      <c r="M51" s="44" t="inlineStr">
        <is>
          <t>2026-08-26</t>
        </is>
      </c>
      <c r="N51" s="43" t="n">
        <v>345</v>
      </c>
      <c r="O51" s="46" t="n">
        <v>-23.0859</v>
      </c>
      <c r="P51" s="46" t="n">
        <v>-72.63849999999999</v>
      </c>
      <c r="Q51" s="46" t="n">
        <v>49.1377</v>
      </c>
      <c r="R51" s="46" t="n">
        <v>-23.5461</v>
      </c>
      <c r="S51" s="47">
        <f>IF($I51="Yes",$O51,"")</f>
        <v/>
      </c>
    </row>
    <row r="52">
      <c r="A52" s="48" t="inlineStr">
        <is>
          <t>VAU.AX</t>
        </is>
      </c>
      <c r="B52" s="49" t="inlineStr">
        <is>
          <t>Vault Minerals Limited</t>
        </is>
      </c>
      <c r="C52" s="49" t="inlineStr">
        <is>
          <t>AU</t>
        </is>
      </c>
      <c r="D52" s="49" t="inlineStr">
        <is>
          <t>ASX 200</t>
        </is>
      </c>
      <c r="E52" s="49" t="inlineStr">
        <is>
          <t>Basic Materials</t>
        </is>
      </c>
      <c r="F52" s="50" t="n">
        <v>7014356992</v>
      </c>
      <c r="G52" s="49" t="inlineStr">
        <is>
          <t>nightly refresh</t>
        </is>
      </c>
      <c r="H52" s="48" t="n">
        <v>83</v>
      </c>
      <c r="I52" s="49" t="inlineStr">
        <is>
          <t>No</t>
        </is>
      </c>
      <c r="J52" s="49" t="inlineStr">
        <is>
          <t>1996-10-31</t>
        </is>
      </c>
      <c r="K52" s="48" t="n">
        <v>6780</v>
      </c>
      <c r="L52" s="49" t="inlineStr">
        <is>
          <t>2000-01-03</t>
        </is>
      </c>
      <c r="M52" s="49" t="inlineStr">
        <is>
          <t>2026-08-26</t>
        </is>
      </c>
      <c r="N52" s="48" t="n">
        <v>236</v>
      </c>
      <c r="O52" s="51" t="n">
        <v>-39.256</v>
      </c>
      <c r="P52" s="51" t="n">
        <v>-93.3058</v>
      </c>
      <c r="Q52" s="51" t="n">
        <v>117.8096</v>
      </c>
      <c r="R52" s="51" t="n">
        <v>-2.4424</v>
      </c>
      <c r="S52" s="52">
        <f>IF($I52="Yes",$O52,"")</f>
        <v/>
      </c>
    </row>
    <row r="53">
      <c r="A53" s="43" t="inlineStr">
        <is>
          <t>VUL.AX</t>
        </is>
      </c>
      <c r="B53" s="44" t="inlineStr">
        <is>
          <t>Vulcan Energy Resources Limited</t>
        </is>
      </c>
      <c r="C53" s="44" t="inlineStr">
        <is>
          <t>AU</t>
        </is>
      </c>
      <c r="D53" s="44" t="inlineStr">
        <is>
          <t>ASX 200</t>
        </is>
      </c>
      <c r="E53" s="44" t="inlineStr">
        <is>
          <t>Basic Materials</t>
        </is>
      </c>
      <c r="F53" s="45" t="n">
        <v>1234944640</v>
      </c>
      <c r="G53" s="44" t="inlineStr">
        <is>
          <t>nightly refresh</t>
        </is>
      </c>
      <c r="H53" s="43" t="n">
        <v>193</v>
      </c>
      <c r="I53" s="44" t="inlineStr">
        <is>
          <t>No</t>
        </is>
      </c>
      <c r="J53" s="44" t="inlineStr">
        <is>
          <t>2018-05-30</t>
        </is>
      </c>
      <c r="K53" s="43" t="n">
        <v>2088</v>
      </c>
      <c r="L53" s="44" t="inlineStr">
        <is>
          <t>2018-05-30</t>
        </is>
      </c>
      <c r="M53" s="44" t="inlineStr">
        <is>
          <t>2026-08-26</t>
        </is>
      </c>
      <c r="N53" s="43" t="n">
        <v>107</v>
      </c>
      <c r="O53" s="46" t="n">
        <v>-45.6675</v>
      </c>
      <c r="P53" s="46" t="n">
        <v>-74.4444</v>
      </c>
      <c r="Q53" s="46" t="n">
        <v>412.0467</v>
      </c>
      <c r="R53" s="46" t="n">
        <v>-63.8298</v>
      </c>
      <c r="S53" s="47">
        <f>IF($I53="Yes",$O53,"")</f>
        <v/>
      </c>
    </row>
    <row r="54">
      <c r="A54" s="48" t="inlineStr">
        <is>
          <t>WAF.AX</t>
        </is>
      </c>
      <c r="B54" s="49" t="inlineStr">
        <is>
          <t>West African Resources Limited</t>
        </is>
      </c>
      <c r="C54" s="49" t="inlineStr">
        <is>
          <t>AU</t>
        </is>
      </c>
      <c r="D54" s="49" t="inlineStr">
        <is>
          <t>ASX 200</t>
        </is>
      </c>
      <c r="E54" s="49" t="inlineStr">
        <is>
          <t>Basic Materials</t>
        </is>
      </c>
      <c r="F54" s="50" t="n">
        <v>4460636672</v>
      </c>
      <c r="G54" s="49" t="inlineStr">
        <is>
          <t>nightly refresh</t>
        </is>
      </c>
      <c r="H54" s="48" t="n">
        <v>116</v>
      </c>
      <c r="I54" s="49" t="inlineStr">
        <is>
          <t>No</t>
        </is>
      </c>
      <c r="J54" s="49" t="inlineStr">
        <is>
          <t>2010-06-11</t>
        </is>
      </c>
      <c r="K54" s="48" t="n">
        <v>4100</v>
      </c>
      <c r="L54" s="49" t="inlineStr">
        <is>
          <t>2010-06-11</t>
        </is>
      </c>
      <c r="M54" s="49" t="inlineStr">
        <is>
          <t>2026-08-26</t>
        </is>
      </c>
      <c r="N54" s="48" t="n">
        <v>175</v>
      </c>
      <c r="O54" s="51" t="n">
        <v>-30.6036</v>
      </c>
      <c r="P54" s="51" t="n">
        <v>-68.254</v>
      </c>
      <c r="Q54" s="51" t="n">
        <v>108.247</v>
      </c>
      <c r="R54" s="51" t="n">
        <v>-1.5113</v>
      </c>
      <c r="S54" s="52">
        <f>IF($I54="Yes",$O54,"")</f>
        <v/>
      </c>
    </row>
    <row r="55">
      <c r="A55" s="43" t="inlineStr">
        <is>
          <t>WGX.AX</t>
        </is>
      </c>
      <c r="B55" s="44" t="inlineStr">
        <is>
          <t>Westgold Resources Limited</t>
        </is>
      </c>
      <c r="C55" s="44" t="inlineStr">
        <is>
          <t>AU</t>
        </is>
      </c>
      <c r="D55" s="44" t="inlineStr">
        <is>
          <t>ASX 200</t>
        </is>
      </c>
      <c r="E55" s="44" t="inlineStr">
        <is>
          <t>Basic Materials</t>
        </is>
      </c>
      <c r="F55" s="45" t="n">
        <v>6224248832</v>
      </c>
      <c r="G55" s="44" t="inlineStr">
        <is>
          <t>nightly refresh</t>
        </is>
      </c>
      <c r="H55" s="43" t="n">
        <v>93</v>
      </c>
      <c r="I55" s="44" t="inlineStr">
        <is>
          <t>No</t>
        </is>
      </c>
      <c r="J55" s="44" t="inlineStr">
        <is>
          <t>2016-12-06</t>
        </is>
      </c>
      <c r="K55" s="43" t="n">
        <v>2459</v>
      </c>
      <c r="L55" s="44" t="inlineStr">
        <is>
          <t>2016-12-06</t>
        </is>
      </c>
      <c r="M55" s="44" t="inlineStr">
        <is>
          <t>2026-08-26</t>
        </is>
      </c>
      <c r="N55" s="43" t="n">
        <v>138</v>
      </c>
      <c r="O55" s="46" t="n">
        <v>-28.482</v>
      </c>
      <c r="P55" s="46" t="n">
        <v>-71.2</v>
      </c>
      <c r="Q55" s="46" t="n">
        <v>79.2607</v>
      </c>
      <c r="R55" s="46" t="n">
        <v>-16.299</v>
      </c>
      <c r="S55" s="47">
        <f>IF($I55="Yes",$O55,"")</f>
        <v/>
      </c>
    </row>
    <row r="56">
      <c r="A56" s="48" t="inlineStr">
        <is>
          <t>ABB.AX</t>
        </is>
      </c>
      <c r="B56" s="49" t="inlineStr">
        <is>
          <t>Aussie Broadband Limited</t>
        </is>
      </c>
      <c r="C56" s="49" t="inlineStr">
        <is>
          <t>AU</t>
        </is>
      </c>
      <c r="D56" s="49" t="inlineStr">
        <is>
          <t>ASX 200</t>
        </is>
      </c>
      <c r="E56" s="49" t="inlineStr">
        <is>
          <t>Communication Services</t>
        </is>
      </c>
      <c r="F56" s="50" t="n">
        <v>1397332992</v>
      </c>
      <c r="G56" s="49" t="inlineStr">
        <is>
          <t>nightly refresh</t>
        </is>
      </c>
      <c r="H56" s="48" t="n">
        <v>187</v>
      </c>
      <c r="I56" s="49" t="inlineStr">
        <is>
          <t>No</t>
        </is>
      </c>
      <c r="J56" s="49" t="inlineStr">
        <is>
          <t>2020-10-16</t>
        </is>
      </c>
      <c r="K56" s="48" t="n">
        <v>1482</v>
      </c>
      <c r="L56" s="49" t="inlineStr">
        <is>
          <t>2020-10-16</t>
        </is>
      </c>
      <c r="M56" s="49" t="inlineStr">
        <is>
          <t>2026-08-26</t>
        </is>
      </c>
      <c r="N56" s="48" t="n">
        <v>75</v>
      </c>
      <c r="O56" s="51" t="n">
        <v>-25.4397</v>
      </c>
      <c r="P56" s="51" t="n">
        <v>-67.6617</v>
      </c>
      <c r="Q56" s="51" t="n">
        <v>66.8252</v>
      </c>
      <c r="R56" s="51" t="n">
        <v>-24.222</v>
      </c>
      <c r="S56" s="52">
        <f>IF($I56="Yes",$O56,"")</f>
        <v/>
      </c>
    </row>
    <row r="57">
      <c r="A57" s="43" t="inlineStr">
        <is>
          <t>CAR.AX</t>
        </is>
      </c>
      <c r="B57" s="44" t="inlineStr">
        <is>
          <t>CAR Group Limited</t>
        </is>
      </c>
      <c r="C57" s="44" t="inlineStr">
        <is>
          <t>AU</t>
        </is>
      </c>
      <c r="D57" s="44" t="inlineStr">
        <is>
          <t>ASX 200</t>
        </is>
      </c>
      <c r="E57" s="44" t="inlineStr">
        <is>
          <t>Communication Services</t>
        </is>
      </c>
      <c r="F57" s="45" t="n">
        <v>10695385088</v>
      </c>
      <c r="G57" s="44" t="inlineStr">
        <is>
          <t>nightly refresh</t>
        </is>
      </c>
      <c r="H57" s="43" t="n">
        <v>61</v>
      </c>
      <c r="I57" s="44" t="inlineStr">
        <is>
          <t>No</t>
        </is>
      </c>
      <c r="J57" s="44" t="inlineStr">
        <is>
          <t>2009-09-10</t>
        </is>
      </c>
      <c r="K57" s="43" t="n">
        <v>4289</v>
      </c>
      <c r="L57" s="44" t="inlineStr">
        <is>
          <t>2009-09-10</t>
        </is>
      </c>
      <c r="M57" s="44" t="inlineStr">
        <is>
          <t>2026-08-26</t>
        </is>
      </c>
      <c r="N57" s="43" t="n">
        <v>226</v>
      </c>
      <c r="O57" s="46" t="n">
        <v>-15.6136</v>
      </c>
      <c r="P57" s="46" t="n">
        <v>-46.1378</v>
      </c>
      <c r="Q57" s="46" t="n">
        <v>43.2418</v>
      </c>
      <c r="R57" s="46" t="n">
        <v>-25.9219</v>
      </c>
      <c r="S57" s="47">
        <f>IF($I57="Yes",$O57,"")</f>
        <v/>
      </c>
    </row>
    <row r="58">
      <c r="A58" s="48" t="inlineStr">
        <is>
          <t>CNU.AX</t>
        </is>
      </c>
      <c r="B58" s="49" t="inlineStr">
        <is>
          <t>Chorus Limited</t>
        </is>
      </c>
      <c r="C58" s="49" t="inlineStr">
        <is>
          <t>AU</t>
        </is>
      </c>
      <c r="D58" s="49" t="inlineStr">
        <is>
          <t>ASX 200</t>
        </is>
      </c>
      <c r="E58" s="49" t="inlineStr">
        <is>
          <t>Communication Services</t>
        </is>
      </c>
      <c r="F58" s="50" t="n">
        <v>3206427136</v>
      </c>
      <c r="G58" s="49" t="inlineStr">
        <is>
          <t>nightly refresh</t>
        </is>
      </c>
      <c r="H58" s="48" t="n">
        <v>131</v>
      </c>
      <c r="I58" s="49" t="inlineStr">
        <is>
          <t>No</t>
        </is>
      </c>
      <c r="J58" s="49" t="inlineStr">
        <is>
          <t>2011-11-23</t>
        </is>
      </c>
      <c r="K58" s="48" t="n">
        <v>3735</v>
      </c>
      <c r="L58" s="49" t="inlineStr">
        <is>
          <t>2011-11-23</t>
        </is>
      </c>
      <c r="M58" s="49" t="inlineStr">
        <is>
          <t>2026-08-26</t>
        </is>
      </c>
      <c r="N58" s="48" t="n">
        <v>182</v>
      </c>
      <c r="O58" s="51" t="n">
        <v>-15.0517</v>
      </c>
      <c r="P58" s="51" t="n">
        <v>-52.9735</v>
      </c>
      <c r="Q58" s="51" t="n">
        <v>38.6668</v>
      </c>
      <c r="R58" s="51" t="n">
        <v>-12.2085</v>
      </c>
      <c r="S58" s="52">
        <f>IF($I58="Yes",$O58,"")</f>
        <v/>
      </c>
    </row>
    <row r="59">
      <c r="A59" s="43" t="inlineStr">
        <is>
          <t>EVT.AX</t>
        </is>
      </c>
      <c r="B59" s="44" t="inlineStr">
        <is>
          <t>EVT Limited</t>
        </is>
      </c>
      <c r="C59" s="44" t="inlineStr">
        <is>
          <t>AU</t>
        </is>
      </c>
      <c r="D59" s="44" t="inlineStr">
        <is>
          <t>ASX 200</t>
        </is>
      </c>
      <c r="E59" s="44" t="inlineStr">
        <is>
          <t>Communication Services</t>
        </is>
      </c>
      <c r="F59" s="45" t="n">
        <v>2486593024</v>
      </c>
      <c r="G59" s="44" t="inlineStr">
        <is>
          <t>nightly refresh</t>
        </is>
      </c>
      <c r="H59" s="43" t="n">
        <v>150</v>
      </c>
      <c r="I59" s="44" t="inlineStr">
        <is>
          <t>No</t>
        </is>
      </c>
      <c r="J59" s="44" t="inlineStr">
        <is>
          <t>1988-01-29</t>
        </is>
      </c>
      <c r="K59" s="43" t="n">
        <v>6780</v>
      </c>
      <c r="L59" s="44" t="inlineStr">
        <is>
          <t>2000-01-03</t>
        </is>
      </c>
      <c r="M59" s="44" t="inlineStr">
        <is>
          <t>2026-08-26</t>
        </is>
      </c>
      <c r="N59" s="43" t="n">
        <v>297</v>
      </c>
      <c r="O59" s="46" t="n">
        <v>-16.7428</v>
      </c>
      <c r="P59" s="46" t="n">
        <v>-57.1803</v>
      </c>
      <c r="Q59" s="46" t="n">
        <v>37.5475</v>
      </c>
      <c r="R59" s="46" t="n">
        <v>-4.8297</v>
      </c>
      <c r="S59" s="47">
        <f>IF($I59="Yes",$O59,"")</f>
        <v/>
      </c>
    </row>
    <row r="60">
      <c r="A60" s="48" t="inlineStr">
        <is>
          <t>NEC.AX</t>
        </is>
      </c>
      <c r="B60" s="49" t="inlineStr">
        <is>
          <t>Nine Entertainment Co. Holdings Limited</t>
        </is>
      </c>
      <c r="C60" s="49" t="inlineStr">
        <is>
          <t>AU</t>
        </is>
      </c>
      <c r="D60" s="49" t="inlineStr">
        <is>
          <t>ASX 200</t>
        </is>
      </c>
      <c r="E60" s="49" t="inlineStr">
        <is>
          <t>Communication Services</t>
        </is>
      </c>
      <c r="F60" s="50" t="n">
        <v>1546118144</v>
      </c>
      <c r="G60" s="49" t="inlineStr">
        <is>
          <t>nightly refresh</t>
        </is>
      </c>
      <c r="H60" s="48" t="n">
        <v>181</v>
      </c>
      <c r="I60" s="49" t="inlineStr">
        <is>
          <t>No</t>
        </is>
      </c>
      <c r="J60" s="49" t="inlineStr">
        <is>
          <t>2013-12-06</t>
        </is>
      </c>
      <c r="K60" s="48" t="n">
        <v>3219</v>
      </c>
      <c r="L60" s="49" t="inlineStr">
        <is>
          <t>2013-12-06</t>
        </is>
      </c>
      <c r="M60" s="49" t="inlineStr">
        <is>
          <t>2026-08-26</t>
        </is>
      </c>
      <c r="N60" s="48" t="n">
        <v>145</v>
      </c>
      <c r="O60" s="51" t="n">
        <v>-23.7739</v>
      </c>
      <c r="P60" s="51" t="n">
        <v>-58.1954</v>
      </c>
      <c r="Q60" s="51" t="n">
        <v>54.384</v>
      </c>
      <c r="R60" s="51" t="n">
        <v>-14.5325</v>
      </c>
      <c r="S60" s="52">
        <f>IF($I60="Yes",$O60,"")</f>
        <v/>
      </c>
    </row>
    <row r="61">
      <c r="A61" s="43" t="inlineStr">
        <is>
          <t>NWS.AX</t>
        </is>
      </c>
      <c r="B61" s="44" t="inlineStr">
        <is>
          <t>News Corporation</t>
        </is>
      </c>
      <c r="C61" s="44" t="inlineStr">
        <is>
          <t>AU</t>
        </is>
      </c>
      <c r="D61" s="44" t="inlineStr">
        <is>
          <t>ASX 200</t>
        </is>
      </c>
      <c r="E61" s="44" t="inlineStr">
        <is>
          <t>Communication Services</t>
        </is>
      </c>
      <c r="F61" s="45" t="n">
        <v>26136377344</v>
      </c>
      <c r="G61" s="44" t="inlineStr">
        <is>
          <t>nightly refresh</t>
        </is>
      </c>
      <c r="H61" s="43" t="n">
        <v>27</v>
      </c>
      <c r="I61" s="44" t="inlineStr">
        <is>
          <t>Yes</t>
        </is>
      </c>
      <c r="J61" s="44" t="inlineStr">
        <is>
          <t>1999-07-26</t>
        </is>
      </c>
      <c r="K61" s="43" t="n">
        <v>6390</v>
      </c>
      <c r="L61" s="44" t="inlineStr">
        <is>
          <t>2000-01-03</t>
        </is>
      </c>
      <c r="M61" s="44" t="inlineStr">
        <is>
          <t>2026-08-26</t>
        </is>
      </c>
      <c r="N61" s="43" t="n">
        <v>248</v>
      </c>
      <c r="O61" s="46" t="n">
        <v>-19.5707</v>
      </c>
      <c r="P61" s="46" t="n">
        <v>-53.9717</v>
      </c>
      <c r="Q61" s="46" t="n">
        <v>45.7015</v>
      </c>
      <c r="R61" s="46" t="n">
        <v>-7.271</v>
      </c>
      <c r="S61" s="47">
        <f>IF($I61="Yes",$O61,"")</f>
        <v/>
      </c>
    </row>
    <row r="62">
      <c r="A62" s="48" t="inlineStr">
        <is>
          <t>REA.AX</t>
        </is>
      </c>
      <c r="B62" s="49" t="inlineStr">
        <is>
          <t>REA Group Limited</t>
        </is>
      </c>
      <c r="C62" s="49" t="inlineStr">
        <is>
          <t>AU</t>
        </is>
      </c>
      <c r="D62" s="49" t="inlineStr">
        <is>
          <t>ASX 200</t>
        </is>
      </c>
      <c r="E62" s="49" t="inlineStr">
        <is>
          <t>Communication Services</t>
        </is>
      </c>
      <c r="F62" s="50" t="n">
        <v>22548453376</v>
      </c>
      <c r="G62" s="49" t="inlineStr">
        <is>
          <t>nightly refresh</t>
        </is>
      </c>
      <c r="H62" s="48" t="n">
        <v>32</v>
      </c>
      <c r="I62" s="49" t="inlineStr">
        <is>
          <t>Yes</t>
        </is>
      </c>
      <c r="J62" s="49" t="inlineStr">
        <is>
          <t>1999-11-30</t>
        </is>
      </c>
      <c r="K62" s="48" t="n">
        <v>6780</v>
      </c>
      <c r="L62" s="49" t="inlineStr">
        <is>
          <t>2000-01-03</t>
        </is>
      </c>
      <c r="M62" s="49" t="inlineStr">
        <is>
          <t>2026-08-26</t>
        </is>
      </c>
      <c r="N62" s="48" t="n">
        <v>336</v>
      </c>
      <c r="O62" s="51" t="n">
        <v>-19.897</v>
      </c>
      <c r="P62" s="51" t="n">
        <v>-82.4469</v>
      </c>
      <c r="Q62" s="51" t="n">
        <v>73.00839999999999</v>
      </c>
      <c r="R62" s="51" t="n">
        <v>-29.5965</v>
      </c>
      <c r="S62" s="52">
        <f>IF($I62="Yes",$O62,"")</f>
        <v/>
      </c>
    </row>
    <row r="63">
      <c r="A63" s="43" t="inlineStr">
        <is>
          <t>SEK.AX</t>
        </is>
      </c>
      <c r="B63" s="44" t="inlineStr">
        <is>
          <t>SEEK Limited</t>
        </is>
      </c>
      <c r="C63" s="44" t="inlineStr">
        <is>
          <t>AU</t>
        </is>
      </c>
      <c r="D63" s="44" t="inlineStr">
        <is>
          <t>ASX 200</t>
        </is>
      </c>
      <c r="E63" s="44" t="inlineStr">
        <is>
          <t>Communication Services</t>
        </is>
      </c>
      <c r="F63" s="45" t="n">
        <v>5244262912</v>
      </c>
      <c r="G63" s="44" t="inlineStr">
        <is>
          <t>nightly refresh</t>
        </is>
      </c>
      <c r="H63" s="43" t="n">
        <v>106</v>
      </c>
      <c r="I63" s="44" t="inlineStr">
        <is>
          <t>No</t>
        </is>
      </c>
      <c r="J63" s="44" t="inlineStr">
        <is>
          <t>2005-04-18</t>
        </is>
      </c>
      <c r="K63" s="43" t="n">
        <v>5404</v>
      </c>
      <c r="L63" s="44" t="inlineStr">
        <is>
          <t>2005-04-18</t>
        </is>
      </c>
      <c r="M63" s="44" t="inlineStr">
        <is>
          <t>2026-08-26</t>
        </is>
      </c>
      <c r="N63" s="43" t="n">
        <v>285</v>
      </c>
      <c r="O63" s="46" t="n">
        <v>-20.7503</v>
      </c>
      <c r="P63" s="46" t="n">
        <v>-69.2632</v>
      </c>
      <c r="Q63" s="46" t="n">
        <v>54.1418</v>
      </c>
      <c r="R63" s="46" t="n">
        <v>-49.4192</v>
      </c>
      <c r="S63" s="47">
        <f>IF($I63="Yes",$O63,"")</f>
        <v/>
      </c>
    </row>
    <row r="64">
      <c r="A64" s="48" t="inlineStr">
        <is>
          <t>SLC.AX</t>
        </is>
      </c>
      <c r="B64" s="49" t="inlineStr">
        <is>
          <t>Superloop Limited</t>
        </is>
      </c>
      <c r="C64" s="49" t="inlineStr">
        <is>
          <t>AU</t>
        </is>
      </c>
      <c r="D64" s="49" t="inlineStr">
        <is>
          <t>ASX 200</t>
        </is>
      </c>
      <c r="E64" s="49" t="inlineStr">
        <is>
          <t>Communication Services</t>
        </is>
      </c>
      <c r="F64" s="50" t="n">
        <v>1508111744</v>
      </c>
      <c r="G64" s="49" t="inlineStr">
        <is>
          <t>nightly refresh</t>
        </is>
      </c>
      <c r="H64" s="48" t="n">
        <v>182</v>
      </c>
      <c r="I64" s="49" t="inlineStr">
        <is>
          <t>No</t>
        </is>
      </c>
      <c r="J64" s="49" t="inlineStr">
        <is>
          <t>2015-06-04</t>
        </is>
      </c>
      <c r="K64" s="48" t="n">
        <v>2844</v>
      </c>
      <c r="L64" s="49" t="inlineStr">
        <is>
          <t>2015-06-04</t>
        </is>
      </c>
      <c r="M64" s="49" t="inlineStr">
        <is>
          <t>2026-08-26</t>
        </is>
      </c>
      <c r="N64" s="48" t="n">
        <v>130</v>
      </c>
      <c r="O64" s="51" t="n">
        <v>-27.4429</v>
      </c>
      <c r="P64" s="51" t="n">
        <v>-76.5493</v>
      </c>
      <c r="Q64" s="51" t="n">
        <v>64.3954</v>
      </c>
      <c r="R64" s="51" t="n">
        <v>-22.9974</v>
      </c>
      <c r="S64" s="52">
        <f>IF($I64="Yes",$O64,"")</f>
        <v/>
      </c>
    </row>
    <row r="65">
      <c r="A65" s="43" t="inlineStr">
        <is>
          <t>TLS.AX</t>
        </is>
      </c>
      <c r="B65" s="44" t="inlineStr">
        <is>
          <t>Telstra Group Limited</t>
        </is>
      </c>
      <c r="C65" s="44" t="inlineStr">
        <is>
          <t>AU</t>
        </is>
      </c>
      <c r="D65" s="44" t="inlineStr">
        <is>
          <t>ASX 200</t>
        </is>
      </c>
      <c r="E65" s="44" t="inlineStr">
        <is>
          <t>Communication Services</t>
        </is>
      </c>
      <c r="F65" s="45" t="n">
        <v>51017244672</v>
      </c>
      <c r="G65" s="44" t="inlineStr">
        <is>
          <t>nightly refresh</t>
        </is>
      </c>
      <c r="H65" s="43" t="n">
        <v>15</v>
      </c>
      <c r="I65" s="44" t="inlineStr">
        <is>
          <t>Yes</t>
        </is>
      </c>
      <c r="J65" s="44" t="inlineStr">
        <is>
          <t>1997-11-28</t>
        </is>
      </c>
      <c r="K65" s="43" t="n">
        <v>6780</v>
      </c>
      <c r="L65" s="44" t="inlineStr">
        <is>
          <t>2000-01-03</t>
        </is>
      </c>
      <c r="M65" s="44" t="inlineStr">
        <is>
          <t>2026-08-26</t>
        </is>
      </c>
      <c r="N65" s="43" t="n">
        <v>257</v>
      </c>
      <c r="O65" s="46" t="n">
        <v>-15.3835</v>
      </c>
      <c r="P65" s="46" t="n">
        <v>-34.7749</v>
      </c>
      <c r="Q65" s="46" t="n">
        <v>24.3311</v>
      </c>
      <c r="R65" s="46" t="n">
        <v>-17.9211</v>
      </c>
      <c r="S65" s="47">
        <f>IF($I65="Yes",$O65,"")</f>
        <v/>
      </c>
    </row>
    <row r="66">
      <c r="A66" s="48" t="inlineStr">
        <is>
          <t>TPG.AX</t>
        </is>
      </c>
      <c r="B66" s="49" t="inlineStr">
        <is>
          <t>TPG Telecom Limited</t>
        </is>
      </c>
      <c r="C66" s="49" t="inlineStr">
        <is>
          <t>AU</t>
        </is>
      </c>
      <c r="D66" s="49" t="inlineStr">
        <is>
          <t>ASX 200</t>
        </is>
      </c>
      <c r="E66" s="49" t="inlineStr">
        <is>
          <t>Communication Services</t>
        </is>
      </c>
      <c r="F66" s="50" t="n">
        <v>7282839040</v>
      </c>
      <c r="G66" s="49" t="inlineStr">
        <is>
          <t>nightly refresh</t>
        </is>
      </c>
      <c r="H66" s="48" t="n">
        <v>80</v>
      </c>
      <c r="I66" s="49" t="inlineStr">
        <is>
          <t>No</t>
        </is>
      </c>
      <c r="J66" s="49" t="inlineStr">
        <is>
          <t>2001-05-09</t>
        </is>
      </c>
      <c r="K66" s="48" t="n">
        <v>6428</v>
      </c>
      <c r="L66" s="49" t="inlineStr">
        <is>
          <t>2001-05-09</t>
        </is>
      </c>
      <c r="M66" s="49" t="inlineStr">
        <is>
          <t>2026-08-26</t>
        </is>
      </c>
      <c r="N66" s="48" t="n">
        <v>310</v>
      </c>
      <c r="O66" s="51" t="n">
        <v>-24.9746</v>
      </c>
      <c r="P66" s="51" t="n">
        <v>-76.4461</v>
      </c>
      <c r="Q66" s="51" t="n">
        <v>96.21129999999999</v>
      </c>
      <c r="R66" s="51" t="n">
        <v>-32.8671</v>
      </c>
      <c r="S66" s="52">
        <f>IF($I66="Yes",$O66,"")</f>
        <v/>
      </c>
    </row>
    <row r="67">
      <c r="A67" s="43" t="inlineStr">
        <is>
          <t>TUA.AX</t>
        </is>
      </c>
      <c r="B67" s="44" t="inlineStr">
        <is>
          <t>Tuas Limited</t>
        </is>
      </c>
      <c r="C67" s="44" t="inlineStr">
        <is>
          <t>AU</t>
        </is>
      </c>
      <c r="D67" s="44" t="inlineStr">
        <is>
          <t>ASX 200</t>
        </is>
      </c>
      <c r="E67" s="44" t="inlineStr">
        <is>
          <t>Communication Services</t>
        </is>
      </c>
      <c r="F67" s="45" t="n">
        <v>1195503616</v>
      </c>
      <c r="G67" s="44" t="inlineStr">
        <is>
          <t>nightly refresh</t>
        </is>
      </c>
      <c r="H67" s="43" t="n">
        <v>194</v>
      </c>
      <c r="I67" s="44" t="inlineStr">
        <is>
          <t>No</t>
        </is>
      </c>
      <c r="J67" s="44" t="inlineStr">
        <is>
          <t>2020-06-30</t>
        </is>
      </c>
      <c r="K67" s="43" t="n">
        <v>1560</v>
      </c>
      <c r="L67" s="44" t="inlineStr">
        <is>
          <t>2020-06-30</t>
        </is>
      </c>
      <c r="M67" s="44" t="inlineStr">
        <is>
          <t>2026-08-26</t>
        </is>
      </c>
      <c r="N67" s="43" t="n">
        <v>80</v>
      </c>
      <c r="O67" s="46" t="n">
        <v>-24.1489</v>
      </c>
      <c r="P67" s="46" t="n">
        <v>-74.806</v>
      </c>
      <c r="Q67" s="46" t="n">
        <v>99.0886</v>
      </c>
      <c r="R67" s="46" t="n">
        <v>-74.0896</v>
      </c>
      <c r="S67" s="47">
        <f>IF($I67="Yes",$O67,"")</f>
        <v/>
      </c>
    </row>
    <row r="68">
      <c r="A68" s="48" t="inlineStr">
        <is>
          <t>ALL.AX</t>
        </is>
      </c>
      <c r="B68" s="49" t="inlineStr">
        <is>
          <t>Aristocrat Leisure Limited</t>
        </is>
      </c>
      <c r="C68" s="49" t="inlineStr">
        <is>
          <t>AU</t>
        </is>
      </c>
      <c r="D68" s="49" t="inlineStr">
        <is>
          <t>ASX 200</t>
        </is>
      </c>
      <c r="E68" s="49" t="inlineStr">
        <is>
          <t>Consumer Cyclical</t>
        </is>
      </c>
      <c r="F68" s="50" t="n">
        <v>35887808512</v>
      </c>
      <c r="G68" s="49" t="inlineStr">
        <is>
          <t>nightly refresh</t>
        </is>
      </c>
      <c r="H68" s="48" t="n">
        <v>19</v>
      </c>
      <c r="I68" s="49" t="inlineStr">
        <is>
          <t>Yes</t>
        </is>
      </c>
      <c r="J68" s="49" t="inlineStr">
        <is>
          <t>1996-07-31</t>
        </is>
      </c>
      <c r="K68" s="48" t="n">
        <v>6780</v>
      </c>
      <c r="L68" s="49" t="inlineStr">
        <is>
          <t>2000-01-03</t>
        </is>
      </c>
      <c r="M68" s="49" t="inlineStr">
        <is>
          <t>2026-08-26</t>
        </is>
      </c>
      <c r="N68" s="48" t="n">
        <v>341</v>
      </c>
      <c r="O68" s="51" t="n">
        <v>-23.3487</v>
      </c>
      <c r="P68" s="51" t="n">
        <v>-84.5078</v>
      </c>
      <c r="Q68" s="51" t="n">
        <v>65.29340000000001</v>
      </c>
      <c r="R68" s="51" t="n">
        <v>-14.9334</v>
      </c>
      <c r="S68" s="52">
        <f>IF($I68="Yes",$O68,"")</f>
        <v/>
      </c>
    </row>
    <row r="69">
      <c r="A69" s="43" t="inlineStr">
        <is>
          <t>AMC.AX</t>
        </is>
      </c>
      <c r="B69" s="44" t="inlineStr">
        <is>
          <t>Amcor plc</t>
        </is>
      </c>
      <c r="C69" s="44" t="inlineStr">
        <is>
          <t>AU</t>
        </is>
      </c>
      <c r="D69" s="44" t="inlineStr">
        <is>
          <t>ASX 200</t>
        </is>
      </c>
      <c r="E69" s="44" t="inlineStr">
        <is>
          <t>Consumer Cyclical</t>
        </is>
      </c>
      <c r="F69" s="45" t="n">
        <v>30084833280</v>
      </c>
      <c r="G69" s="44" t="inlineStr">
        <is>
          <t>nightly refresh</t>
        </is>
      </c>
      <c r="H69" s="43" t="n">
        <v>25</v>
      </c>
      <c r="I69" s="44" t="inlineStr">
        <is>
          <t>Yes</t>
        </is>
      </c>
      <c r="J69" s="44" t="inlineStr">
        <is>
          <t>1988-01-29</t>
        </is>
      </c>
      <c r="K69" s="43" t="n">
        <v>6780</v>
      </c>
      <c r="L69" s="44" t="inlineStr">
        <is>
          <t>2000-01-03</t>
        </is>
      </c>
      <c r="M69" s="44" t="inlineStr">
        <is>
          <t>2026-08-26</t>
        </is>
      </c>
      <c r="N69" s="43" t="n">
        <v>331</v>
      </c>
      <c r="O69" s="46" t="n">
        <v>-12.5307</v>
      </c>
      <c r="P69" s="46" t="n">
        <v>-39.0899</v>
      </c>
      <c r="Q69" s="46" t="n">
        <v>29.2051</v>
      </c>
      <c r="R69" s="46" t="n">
        <v>-6.6254</v>
      </c>
      <c r="S69" s="47">
        <f>IF($I69="Yes",$O69,"")</f>
        <v/>
      </c>
    </row>
    <row r="70">
      <c r="A70" s="48" t="inlineStr">
        <is>
          <t>APE.AX</t>
        </is>
      </c>
      <c r="B70" s="49" t="inlineStr">
        <is>
          <t>Eagers Automotive Limited</t>
        </is>
      </c>
      <c r="C70" s="49" t="inlineStr">
        <is>
          <t>AU</t>
        </is>
      </c>
      <c r="D70" s="49" t="inlineStr">
        <is>
          <t>ASX 200</t>
        </is>
      </c>
      <c r="E70" s="49" t="inlineStr">
        <is>
          <t>Consumer Cyclical</t>
        </is>
      </c>
      <c r="F70" s="50" t="n">
        <v>6276925952</v>
      </c>
      <c r="G70" s="49" t="inlineStr">
        <is>
          <t>nightly refresh</t>
        </is>
      </c>
      <c r="H70" s="48" t="n">
        <v>92</v>
      </c>
      <c r="I70" s="49" t="inlineStr">
        <is>
          <t>No</t>
        </is>
      </c>
      <c r="J70" s="49" t="inlineStr">
        <is>
          <t>1988-01-29</t>
        </is>
      </c>
      <c r="K70" s="48" t="n">
        <v>6780</v>
      </c>
      <c r="L70" s="49" t="inlineStr">
        <is>
          <t>2000-01-03</t>
        </is>
      </c>
      <c r="M70" s="49" t="inlineStr">
        <is>
          <t>2026-08-26</t>
        </is>
      </c>
      <c r="N70" s="48" t="n">
        <v>257</v>
      </c>
      <c r="O70" s="51" t="n">
        <v>-18.1061</v>
      </c>
      <c r="P70" s="51" t="n">
        <v>-79.9862</v>
      </c>
      <c r="Q70" s="51" t="n">
        <v>72.51860000000001</v>
      </c>
      <c r="R70" s="51" t="n">
        <v>-32.7353</v>
      </c>
      <c r="S70" s="52">
        <f>IF($I70="Yes",$O70,"")</f>
        <v/>
      </c>
    </row>
    <row r="71">
      <c r="A71" s="43" t="inlineStr">
        <is>
          <t>ARB.AX</t>
        </is>
      </c>
      <c r="B71" s="44" t="inlineStr">
        <is>
          <t>ARB Corporation Limited</t>
        </is>
      </c>
      <c r="C71" s="44" t="inlineStr">
        <is>
          <t>AU</t>
        </is>
      </c>
      <c r="D71" s="44" t="inlineStr">
        <is>
          <t>ASX 200</t>
        </is>
      </c>
      <c r="E71" s="44" t="inlineStr">
        <is>
          <t>Consumer Cyclical</t>
        </is>
      </c>
      <c r="F71" s="45" t="n">
        <v>1636391168</v>
      </c>
      <c r="G71" s="44" t="inlineStr">
        <is>
          <t>nightly refresh</t>
        </is>
      </c>
      <c r="H71" s="43" t="n">
        <v>177</v>
      </c>
      <c r="I71" s="44" t="inlineStr">
        <is>
          <t>No</t>
        </is>
      </c>
      <c r="J71" s="44" t="inlineStr">
        <is>
          <t>1988-01-29</t>
        </is>
      </c>
      <c r="K71" s="43" t="n">
        <v>6780</v>
      </c>
      <c r="L71" s="44" t="inlineStr">
        <is>
          <t>2000-01-03</t>
        </is>
      </c>
      <c r="M71" s="44" t="inlineStr">
        <is>
          <t>2026-08-26</t>
        </is>
      </c>
      <c r="N71" s="43" t="n">
        <v>317</v>
      </c>
      <c r="O71" s="46" t="n">
        <v>-16.7043</v>
      </c>
      <c r="P71" s="46" t="n">
        <v>-57.7901</v>
      </c>
      <c r="Q71" s="46" t="n">
        <v>49.2552</v>
      </c>
      <c r="R71" s="46" t="n">
        <v>-48.5327</v>
      </c>
      <c r="S71" s="47">
        <f>IF($I71="Yes",$O71,"")</f>
        <v/>
      </c>
    </row>
    <row r="72">
      <c r="A72" s="48" t="inlineStr">
        <is>
          <t>BRG.AX</t>
        </is>
      </c>
      <c r="B72" s="49" t="inlineStr">
        <is>
          <t>Breville Group Limited</t>
        </is>
      </c>
      <c r="C72" s="49" t="inlineStr">
        <is>
          <t>AU</t>
        </is>
      </c>
      <c r="D72" s="49" t="inlineStr">
        <is>
          <t>ASX 200</t>
        </is>
      </c>
      <c r="E72" s="49" t="inlineStr">
        <is>
          <t>Consumer Cyclical</t>
        </is>
      </c>
      <c r="F72" s="50" t="n">
        <v>4730427392</v>
      </c>
      <c r="G72" s="49" t="inlineStr">
        <is>
          <t>nightly refresh</t>
        </is>
      </c>
      <c r="H72" s="48" t="n">
        <v>111</v>
      </c>
      <c r="I72" s="49" t="inlineStr">
        <is>
          <t>No</t>
        </is>
      </c>
      <c r="J72" s="49" t="inlineStr">
        <is>
          <t>1999-02-25</t>
        </is>
      </c>
      <c r="K72" s="48" t="n">
        <v>6780</v>
      </c>
      <c r="L72" s="49" t="inlineStr">
        <is>
          <t>2000-01-03</t>
        </is>
      </c>
      <c r="M72" s="49" t="inlineStr">
        <is>
          <t>2026-08-26</t>
        </is>
      </c>
      <c r="N72" s="48" t="n">
        <v>320</v>
      </c>
      <c r="O72" s="51" t="n">
        <v>-20.9235</v>
      </c>
      <c r="P72" s="51" t="n">
        <v>-74.3856</v>
      </c>
      <c r="Q72" s="51" t="n">
        <v>66.2611</v>
      </c>
      <c r="R72" s="51" t="n">
        <v>-5.5806</v>
      </c>
      <c r="S72" s="52">
        <f>IF($I72="Yes",$O72,"")</f>
        <v/>
      </c>
    </row>
    <row r="73">
      <c r="A73" s="43" t="inlineStr">
        <is>
          <t>CTD.AX</t>
        </is>
      </c>
      <c r="B73" s="44" t="inlineStr">
        <is>
          <t>Corporate Travel Management Limited</t>
        </is>
      </c>
      <c r="C73" s="44" t="inlineStr">
        <is>
          <t>AU</t>
        </is>
      </c>
      <c r="D73" s="44" t="inlineStr">
        <is>
          <t>ASX 200</t>
        </is>
      </c>
      <c r="E73" s="44" t="inlineStr">
        <is>
          <t>Consumer Cyclical</t>
        </is>
      </c>
      <c r="F73" s="45" t="n">
        <v>2351454720</v>
      </c>
      <c r="G73" s="44" t="inlineStr">
        <is>
          <t>nightly refresh</t>
        </is>
      </c>
      <c r="H73" s="43" t="n">
        <v>153</v>
      </c>
      <c r="I73" s="44" t="inlineStr">
        <is>
          <t>No</t>
        </is>
      </c>
      <c r="J73" s="44" t="inlineStr">
        <is>
          <t>2010-12-15</t>
        </is>
      </c>
      <c r="K73" s="43" t="n">
        <v>3967</v>
      </c>
      <c r="L73" s="44" t="inlineStr">
        <is>
          <t>2010-12-15</t>
        </is>
      </c>
      <c r="M73" s="44" t="inlineStr">
        <is>
          <t>2026-08-25</t>
        </is>
      </c>
      <c r="N73" s="43" t="n">
        <v>202</v>
      </c>
      <c r="O73" s="46" t="n">
        <v>-21.787</v>
      </c>
      <c r="P73" s="46" t="n">
        <v>-82.3172</v>
      </c>
      <c r="Q73" s="46" t="n">
        <v>69.3514</v>
      </c>
      <c r="R73" s="46" t="n">
        <v>0</v>
      </c>
      <c r="S73" s="47">
        <f>IF($I73="Yes",$O73,"")</f>
        <v/>
      </c>
    </row>
    <row r="74">
      <c r="A74" s="48" t="inlineStr">
        <is>
          <t>DMP.AX</t>
        </is>
      </c>
      <c r="B74" s="49" t="inlineStr">
        <is>
          <t>Domino's Pizza Enterprises Limited</t>
        </is>
      </c>
      <c r="C74" s="49" t="inlineStr">
        <is>
          <t>AU</t>
        </is>
      </c>
      <c r="D74" s="49" t="inlineStr">
        <is>
          <t>ASX 200</t>
        </is>
      </c>
      <c r="E74" s="49" t="inlineStr">
        <is>
          <t>Consumer Cyclical</t>
        </is>
      </c>
      <c r="F74" s="50" t="n">
        <v>1923361280</v>
      </c>
      <c r="G74" s="49" t="inlineStr">
        <is>
          <t>nightly refresh</t>
        </is>
      </c>
      <c r="H74" s="48" t="n">
        <v>165</v>
      </c>
      <c r="I74" s="49" t="inlineStr">
        <is>
          <t>No</t>
        </is>
      </c>
      <c r="J74" s="49" t="inlineStr">
        <is>
          <t>2005-05-13</t>
        </is>
      </c>
      <c r="K74" s="48" t="n">
        <v>5386</v>
      </c>
      <c r="L74" s="49" t="inlineStr">
        <is>
          <t>2005-05-13</t>
        </is>
      </c>
      <c r="M74" s="49" t="inlineStr">
        <is>
          <t>2026-08-26</t>
        </is>
      </c>
      <c r="N74" s="48" t="n">
        <v>274</v>
      </c>
      <c r="O74" s="51" t="n">
        <v>-22.9532</v>
      </c>
      <c r="P74" s="51" t="n">
        <v>-66.7441</v>
      </c>
      <c r="Q74" s="51" t="n">
        <v>53.1704</v>
      </c>
      <c r="R74" s="51" t="n">
        <v>-22.5108</v>
      </c>
      <c r="S74" s="52">
        <f>IF($I74="Yes",$O74,"")</f>
        <v/>
      </c>
    </row>
    <row r="75">
      <c r="A75" s="43" t="inlineStr">
        <is>
          <t>FLT.AX</t>
        </is>
      </c>
      <c r="B75" s="44" t="inlineStr">
        <is>
          <t>Flight Centre Travel Group Limited</t>
        </is>
      </c>
      <c r="C75" s="44" t="inlineStr">
        <is>
          <t>AU</t>
        </is>
      </c>
      <c r="D75" s="44" t="inlineStr">
        <is>
          <t>ASX 200</t>
        </is>
      </c>
      <c r="E75" s="44" t="inlineStr">
        <is>
          <t>Consumer Cyclical</t>
        </is>
      </c>
      <c r="F75" s="45" t="n">
        <v>2496345344</v>
      </c>
      <c r="G75" s="44" t="inlineStr">
        <is>
          <t>nightly refresh</t>
        </is>
      </c>
      <c r="H75" s="43" t="n">
        <v>148</v>
      </c>
      <c r="I75" s="44" t="inlineStr">
        <is>
          <t>No</t>
        </is>
      </c>
      <c r="J75" s="44" t="inlineStr">
        <is>
          <t>1995-12-29</t>
        </is>
      </c>
      <c r="K75" s="43" t="n">
        <v>6780</v>
      </c>
      <c r="L75" s="44" t="inlineStr">
        <is>
          <t>2000-01-03</t>
        </is>
      </c>
      <c r="M75" s="44" t="inlineStr">
        <is>
          <t>2026-08-26</t>
        </is>
      </c>
      <c r="N75" s="43" t="n">
        <v>337</v>
      </c>
      <c r="O75" s="46" t="n">
        <v>-25.8522</v>
      </c>
      <c r="P75" s="46" t="n">
        <v>-85.3317</v>
      </c>
      <c r="Q75" s="46" t="n">
        <v>57.1571</v>
      </c>
      <c r="R75" s="46" t="n">
        <v>-26.7457</v>
      </c>
      <c r="S75" s="47">
        <f>IF($I75="Yes",$O75,"")</f>
        <v/>
      </c>
    </row>
    <row r="76">
      <c r="A76" s="48" t="inlineStr">
        <is>
          <t>HVN.AX</t>
        </is>
      </c>
      <c r="B76" s="49" t="inlineStr">
        <is>
          <t>Harvey Norman Holdings Limited</t>
        </is>
      </c>
      <c r="C76" s="49" t="inlineStr">
        <is>
          <t>AU</t>
        </is>
      </c>
      <c r="D76" s="49" t="inlineStr">
        <is>
          <t>ASX 200</t>
        </is>
      </c>
      <c r="E76" s="49" t="inlineStr">
        <is>
          <t>Consumer Cyclical</t>
        </is>
      </c>
      <c r="F76" s="50" t="n">
        <v>5607029760</v>
      </c>
      <c r="G76" s="49" t="inlineStr">
        <is>
          <t>nightly refresh</t>
        </is>
      </c>
      <c r="H76" s="48" t="n">
        <v>101</v>
      </c>
      <c r="I76" s="49" t="inlineStr">
        <is>
          <t>No</t>
        </is>
      </c>
      <c r="J76" s="49" t="inlineStr">
        <is>
          <t>1988-01-29</t>
        </is>
      </c>
      <c r="K76" s="48" t="n">
        <v>6780</v>
      </c>
      <c r="L76" s="49" t="inlineStr">
        <is>
          <t>2000-01-03</t>
        </is>
      </c>
      <c r="M76" s="49" t="inlineStr">
        <is>
          <t>2026-08-26</t>
        </is>
      </c>
      <c r="N76" s="48" t="n">
        <v>334</v>
      </c>
      <c r="O76" s="51" t="n">
        <v>-20.0756</v>
      </c>
      <c r="P76" s="51" t="n">
        <v>-69.71599999999999</v>
      </c>
      <c r="Q76" s="51" t="n">
        <v>41.2247</v>
      </c>
      <c r="R76" s="51" t="n">
        <v>-38.4494</v>
      </c>
      <c r="S76" s="52">
        <f>IF($I76="Yes",$O76,"")</f>
        <v/>
      </c>
    </row>
    <row r="77">
      <c r="A77" s="43" t="inlineStr">
        <is>
          <t>JBH.AX</t>
        </is>
      </c>
      <c r="B77" s="44" t="inlineStr">
        <is>
          <t>JB Hi-Fi Limited</t>
        </is>
      </c>
      <c r="C77" s="44" t="inlineStr">
        <is>
          <t>AU</t>
        </is>
      </c>
      <c r="D77" s="44" t="inlineStr">
        <is>
          <t>ASX 200</t>
        </is>
      </c>
      <c r="E77" s="44" t="inlineStr">
        <is>
          <t>Consumer Cyclical</t>
        </is>
      </c>
      <c r="F77" s="45" t="n">
        <v>7218229248</v>
      </c>
      <c r="G77" s="44" t="inlineStr">
        <is>
          <t>nightly refresh</t>
        </is>
      </c>
      <c r="H77" s="43" t="n">
        <v>81</v>
      </c>
      <c r="I77" s="44" t="inlineStr">
        <is>
          <t>No</t>
        </is>
      </c>
      <c r="J77" s="44" t="inlineStr">
        <is>
          <t>2003-10-22</t>
        </is>
      </c>
      <c r="K77" s="43" t="n">
        <v>5788</v>
      </c>
      <c r="L77" s="44" t="inlineStr">
        <is>
          <t>2003-10-22</t>
        </is>
      </c>
      <c r="M77" s="44" t="inlineStr">
        <is>
          <t>2026-08-26</t>
        </is>
      </c>
      <c r="N77" s="43" t="n">
        <v>295</v>
      </c>
      <c r="O77" s="46" t="n">
        <v>-19.4063</v>
      </c>
      <c r="P77" s="46" t="n">
        <v>-57.0031</v>
      </c>
      <c r="Q77" s="46" t="n">
        <v>59.534</v>
      </c>
      <c r="R77" s="46" t="n">
        <v>-40.9242</v>
      </c>
      <c r="S77" s="47">
        <f>IF($I77="Yes",$O77,"")</f>
        <v/>
      </c>
    </row>
    <row r="78">
      <c r="A78" s="48" t="inlineStr">
        <is>
          <t>LNW.AX</t>
        </is>
      </c>
      <c r="B78" s="49" t="inlineStr">
        <is>
          <t>Light &amp; Wonder, Inc.</t>
        </is>
      </c>
      <c r="C78" s="49" t="inlineStr">
        <is>
          <t>AU</t>
        </is>
      </c>
      <c r="D78" s="49" t="inlineStr">
        <is>
          <t>ASX 200</t>
        </is>
      </c>
      <c r="E78" s="49" t="inlineStr">
        <is>
          <t>Consumer Cyclical</t>
        </is>
      </c>
      <c r="F78" s="50" t="n">
        <v>9583934464</v>
      </c>
      <c r="G78" s="49" t="inlineStr">
        <is>
          <t>nightly refresh</t>
        </is>
      </c>
      <c r="H78" s="48" t="n">
        <v>70</v>
      </c>
      <c r="I78" s="49" t="inlineStr">
        <is>
          <t>No</t>
        </is>
      </c>
      <c r="J78" s="49" t="inlineStr">
        <is>
          <t>2023-05-26</t>
        </is>
      </c>
      <c r="K78" s="48" t="n">
        <v>825</v>
      </c>
      <c r="L78" s="49" t="inlineStr">
        <is>
          <t>2023-05-26</t>
        </is>
      </c>
      <c r="M78" s="49" t="inlineStr">
        <is>
          <t>2026-08-26</t>
        </is>
      </c>
      <c r="N78" s="48" t="n">
        <v>47</v>
      </c>
      <c r="O78" s="51" t="n">
        <v>-22.2707</v>
      </c>
      <c r="P78" s="51" t="n">
        <v>-46.8083</v>
      </c>
      <c r="Q78" s="51" t="n">
        <v>37.2092</v>
      </c>
      <c r="R78" s="51" t="n">
        <v>-32.8756</v>
      </c>
      <c r="S78" s="52">
        <f>IF($I78="Yes",$O78,"")</f>
        <v/>
      </c>
    </row>
    <row r="79">
      <c r="A79" s="43" t="inlineStr">
        <is>
          <t>LOV.AX</t>
        </is>
      </c>
      <c r="B79" s="44" t="inlineStr">
        <is>
          <t>Lovisa Holdings Limited</t>
        </is>
      </c>
      <c r="C79" s="44" t="inlineStr">
        <is>
          <t>AU</t>
        </is>
      </c>
      <c r="D79" s="44" t="inlineStr">
        <is>
          <t>ASX 200</t>
        </is>
      </c>
      <c r="E79" s="44" t="inlineStr">
        <is>
          <t>Consumer Cyclical</t>
        </is>
      </c>
      <c r="F79" s="45" t="n">
        <v>2978878976</v>
      </c>
      <c r="G79" s="44" t="inlineStr">
        <is>
          <t>nightly refresh</t>
        </is>
      </c>
      <c r="H79" s="43" t="n">
        <v>137</v>
      </c>
      <c r="I79" s="44" t="inlineStr">
        <is>
          <t>No</t>
        </is>
      </c>
      <c r="J79" s="44" t="inlineStr">
        <is>
          <t>2014-12-18</t>
        </is>
      </c>
      <c r="K79" s="43" t="n">
        <v>2958</v>
      </c>
      <c r="L79" s="44" t="inlineStr">
        <is>
          <t>2014-12-18</t>
        </is>
      </c>
      <c r="M79" s="44" t="inlineStr">
        <is>
          <t>2026-08-26</t>
        </is>
      </c>
      <c r="N79" s="43" t="n">
        <v>171</v>
      </c>
      <c r="O79" s="46" t="n">
        <v>-23.3023</v>
      </c>
      <c r="P79" s="46" t="n">
        <v>-82.328</v>
      </c>
      <c r="Q79" s="46" t="n">
        <v>114.3658</v>
      </c>
      <c r="R79" s="46" t="n">
        <v>-34.767</v>
      </c>
      <c r="S79" s="47">
        <f>IF($I79="Yes",$O79,"")</f>
        <v/>
      </c>
    </row>
    <row r="80">
      <c r="A80" s="48" t="inlineStr">
        <is>
          <t>NCK.AX</t>
        </is>
      </c>
      <c r="B80" s="49" t="inlineStr">
        <is>
          <t>Nick Scali Limited</t>
        </is>
      </c>
      <c r="C80" s="49" t="inlineStr">
        <is>
          <t>AU</t>
        </is>
      </c>
      <c r="D80" s="49" t="inlineStr">
        <is>
          <t>ASX 200</t>
        </is>
      </c>
      <c r="E80" s="49" t="inlineStr">
        <is>
          <t>Consumer Cyclical</t>
        </is>
      </c>
      <c r="F80" s="50" t="n">
        <v>1272696704</v>
      </c>
      <c r="G80" s="49" t="inlineStr">
        <is>
          <t>nightly refresh</t>
        </is>
      </c>
      <c r="H80" s="48" t="n">
        <v>191</v>
      </c>
      <c r="I80" s="49" t="inlineStr">
        <is>
          <t>No</t>
        </is>
      </c>
      <c r="J80" s="49" t="inlineStr">
        <is>
          <t>2004-05-25</t>
        </is>
      </c>
      <c r="K80" s="48" t="n">
        <v>5634</v>
      </c>
      <c r="L80" s="49" t="inlineStr">
        <is>
          <t>2004-05-25</t>
        </is>
      </c>
      <c r="M80" s="49" t="inlineStr">
        <is>
          <t>2026-08-26</t>
        </is>
      </c>
      <c r="N80" s="48" t="n">
        <v>212</v>
      </c>
      <c r="O80" s="51" t="n">
        <v>-19.0517</v>
      </c>
      <c r="P80" s="51" t="n">
        <v>-82.1159</v>
      </c>
      <c r="Q80" s="51" t="n">
        <v>73.08410000000001</v>
      </c>
      <c r="R80" s="51" t="n">
        <v>-40.473</v>
      </c>
      <c r="S80" s="52">
        <f>IF($I80="Yes",$O80,"")</f>
        <v/>
      </c>
    </row>
    <row r="81">
      <c r="A81" s="43" t="inlineStr">
        <is>
          <t>ORA.AX</t>
        </is>
      </c>
      <c r="B81" s="44" t="inlineStr">
        <is>
          <t>Orora Limited</t>
        </is>
      </c>
      <c r="C81" s="44" t="inlineStr">
        <is>
          <t>AU</t>
        </is>
      </c>
      <c r="D81" s="44" t="inlineStr">
        <is>
          <t>ASX 200</t>
        </is>
      </c>
      <c r="E81" s="44" t="inlineStr">
        <is>
          <t>Consumer Cyclical</t>
        </is>
      </c>
      <c r="F81" s="45" t="n">
        <v>1819634304</v>
      </c>
      <c r="G81" s="44" t="inlineStr">
        <is>
          <t>nightly refresh</t>
        </is>
      </c>
      <c r="H81" s="43" t="n">
        <v>170</v>
      </c>
      <c r="I81" s="44" t="inlineStr">
        <is>
          <t>No</t>
        </is>
      </c>
      <c r="J81" s="44" t="inlineStr">
        <is>
          <t>2013-12-20</t>
        </is>
      </c>
      <c r="K81" s="43" t="n">
        <v>3209</v>
      </c>
      <c r="L81" s="44" t="inlineStr">
        <is>
          <t>2013-12-20</t>
        </is>
      </c>
      <c r="M81" s="44" t="inlineStr">
        <is>
          <t>2026-08-26</t>
        </is>
      </c>
      <c r="N81" s="43" t="n">
        <v>142</v>
      </c>
      <c r="O81" s="46" t="n">
        <v>-17.813</v>
      </c>
      <c r="P81" s="46" t="n">
        <v>-47.3578</v>
      </c>
      <c r="Q81" s="46" t="n">
        <v>33.4317</v>
      </c>
      <c r="R81" s="46" t="n">
        <v>-37.6716</v>
      </c>
      <c r="S81" s="47">
        <f>IF($I81="Yes",$O81,"")</f>
        <v/>
      </c>
    </row>
    <row r="82">
      <c r="A82" s="48" t="inlineStr">
        <is>
          <t>PMV.AX</t>
        </is>
      </c>
      <c r="B82" s="49" t="inlineStr">
        <is>
          <t>Premier Investments Limited</t>
        </is>
      </c>
      <c r="C82" s="49" t="inlineStr">
        <is>
          <t>AU</t>
        </is>
      </c>
      <c r="D82" s="49" t="inlineStr">
        <is>
          <t>ASX 200</t>
        </is>
      </c>
      <c r="E82" s="49" t="inlineStr">
        <is>
          <t>Consumer Cyclical</t>
        </is>
      </c>
      <c r="F82" s="50" t="n">
        <v>1863771264</v>
      </c>
      <c r="G82" s="49" t="inlineStr">
        <is>
          <t>nightly refresh</t>
        </is>
      </c>
      <c r="H82" s="48" t="n">
        <v>168</v>
      </c>
      <c r="I82" s="49" t="inlineStr">
        <is>
          <t>No</t>
        </is>
      </c>
      <c r="J82" s="49" t="inlineStr">
        <is>
          <t>1988-01-29</t>
        </is>
      </c>
      <c r="K82" s="48" t="n">
        <v>6780</v>
      </c>
      <c r="L82" s="49" t="inlineStr">
        <is>
          <t>2000-01-03</t>
        </is>
      </c>
      <c r="M82" s="49" t="inlineStr">
        <is>
          <t>2026-08-26</t>
        </is>
      </c>
      <c r="N82" s="48" t="n">
        <v>260</v>
      </c>
      <c r="O82" s="51" t="n">
        <v>-20.3757</v>
      </c>
      <c r="P82" s="51" t="n">
        <v>-60.6868</v>
      </c>
      <c r="Q82" s="51" t="n">
        <v>52.6708</v>
      </c>
      <c r="R82" s="51" t="n">
        <v>-46.8389</v>
      </c>
      <c r="S82" s="52">
        <f>IF($I82="Yes",$O82,"")</f>
        <v/>
      </c>
    </row>
    <row r="83">
      <c r="A83" s="43" t="inlineStr">
        <is>
          <t>SUL.AX</t>
        </is>
      </c>
      <c r="B83" s="44" t="inlineStr">
        <is>
          <t>Super Retail Group Limited</t>
        </is>
      </c>
      <c r="C83" s="44" t="inlineStr">
        <is>
          <t>AU</t>
        </is>
      </c>
      <c r="D83" s="44" t="inlineStr">
        <is>
          <t>ASX 200</t>
        </is>
      </c>
      <c r="E83" s="44" t="inlineStr">
        <is>
          <t>Consumer Cyclical</t>
        </is>
      </c>
      <c r="F83" s="45" t="n">
        <v>2974135040</v>
      </c>
      <c r="G83" s="44" t="inlineStr">
        <is>
          <t>nightly refresh</t>
        </is>
      </c>
      <c r="H83" s="43" t="n">
        <v>138</v>
      </c>
      <c r="I83" s="44" t="inlineStr">
        <is>
          <t>No</t>
        </is>
      </c>
      <c r="J83" s="44" t="inlineStr">
        <is>
          <t>2004-05-31</t>
        </is>
      </c>
      <c r="K83" s="43" t="n">
        <v>5630</v>
      </c>
      <c r="L83" s="44" t="inlineStr">
        <is>
          <t>2004-05-31</t>
        </is>
      </c>
      <c r="M83" s="44" t="inlineStr">
        <is>
          <t>2026-08-26</t>
        </is>
      </c>
      <c r="N83" s="43" t="n">
        <v>286</v>
      </c>
      <c r="O83" s="46" t="n">
        <v>-19.7184</v>
      </c>
      <c r="P83" s="46" t="n">
        <v>-66.0342</v>
      </c>
      <c r="Q83" s="46" t="n">
        <v>64.2475</v>
      </c>
      <c r="R83" s="46" t="n">
        <v>-27.494</v>
      </c>
      <c r="S83" s="47">
        <f>IF($I83="Yes",$O83,"")</f>
        <v/>
      </c>
    </row>
    <row r="84">
      <c r="A84" s="48" t="inlineStr">
        <is>
          <t>TAH.AX</t>
        </is>
      </c>
      <c r="B84" s="49" t="inlineStr">
        <is>
          <t>Tabcorp Holdings Limited</t>
        </is>
      </c>
      <c r="C84" s="49" t="inlineStr">
        <is>
          <t>AU</t>
        </is>
      </c>
      <c r="D84" s="49" t="inlineStr">
        <is>
          <t>ASX 200</t>
        </is>
      </c>
      <c r="E84" s="49" t="inlineStr">
        <is>
          <t>Consumer Cyclical</t>
        </is>
      </c>
      <c r="F84" s="50" t="n">
        <v>2200938496</v>
      </c>
      <c r="G84" s="49" t="inlineStr">
        <is>
          <t>nightly refresh</t>
        </is>
      </c>
      <c r="H84" s="48" t="n">
        <v>157</v>
      </c>
      <c r="I84" s="49" t="inlineStr">
        <is>
          <t>No</t>
        </is>
      </c>
      <c r="J84" s="49" t="inlineStr">
        <is>
          <t>1994-08-31</t>
        </is>
      </c>
      <c r="K84" s="48" t="n">
        <v>6780</v>
      </c>
      <c r="L84" s="49" t="inlineStr">
        <is>
          <t>2000-01-03</t>
        </is>
      </c>
      <c r="M84" s="49" t="inlineStr">
        <is>
          <t>2026-08-26</t>
        </is>
      </c>
      <c r="N84" s="48" t="n">
        <v>278</v>
      </c>
      <c r="O84" s="51" t="n">
        <v>-14.1271</v>
      </c>
      <c r="P84" s="51" t="n">
        <v>-62.5201</v>
      </c>
      <c r="Q84" s="51" t="n">
        <v>245.3726</v>
      </c>
      <c r="R84" s="51" t="n">
        <v>-23.5294</v>
      </c>
      <c r="S84" s="52">
        <f>IF($I84="Yes",$O84,"")</f>
        <v/>
      </c>
    </row>
    <row r="85">
      <c r="A85" s="43" t="inlineStr">
        <is>
          <t>TLC.AX</t>
        </is>
      </c>
      <c r="B85" s="44" t="inlineStr">
        <is>
          <t>The Lottery Corporation Limited</t>
        </is>
      </c>
      <c r="C85" s="44" t="inlineStr">
        <is>
          <t>AU</t>
        </is>
      </c>
      <c r="D85" s="44" t="inlineStr">
        <is>
          <t>ASX 200</t>
        </is>
      </c>
      <c r="E85" s="44" t="inlineStr">
        <is>
          <t>Consumer Cyclical</t>
        </is>
      </c>
      <c r="F85" s="45" t="n">
        <v>11240147968</v>
      </c>
      <c r="G85" s="44" t="inlineStr">
        <is>
          <t>nightly refresh</t>
        </is>
      </c>
      <c r="H85" s="43" t="n">
        <v>57</v>
      </c>
      <c r="I85" s="44" t="inlineStr">
        <is>
          <t>Yes</t>
        </is>
      </c>
      <c r="J85" s="44" t="inlineStr">
        <is>
          <t>2022-05-24</t>
        </is>
      </c>
      <c r="K85" s="43" t="n">
        <v>1079</v>
      </c>
      <c r="L85" s="44" t="inlineStr">
        <is>
          <t>2022-05-24</t>
        </is>
      </c>
      <c r="M85" s="44" t="inlineStr">
        <is>
          <t>2026-08-26</t>
        </is>
      </c>
      <c r="N85" s="43" t="n">
        <v>46</v>
      </c>
      <c r="O85" s="46" t="n">
        <v>-9.9938</v>
      </c>
      <c r="P85" s="46" t="n">
        <v>-19.8364</v>
      </c>
      <c r="Q85" s="46" t="n">
        <v>19.5208</v>
      </c>
      <c r="R85" s="46" t="n">
        <v>-13.2263</v>
      </c>
      <c r="S85" s="47">
        <f>IF($I85="Yes",$O85,"")</f>
        <v/>
      </c>
    </row>
    <row r="86">
      <c r="A86" s="48" t="inlineStr">
        <is>
          <t>WES.AX</t>
        </is>
      </c>
      <c r="B86" s="49" t="inlineStr">
        <is>
          <t>Wesfarmers Limited</t>
        </is>
      </c>
      <c r="C86" s="49" t="inlineStr">
        <is>
          <t>AU</t>
        </is>
      </c>
      <c r="D86" s="49" t="inlineStr">
        <is>
          <t>ASX 200</t>
        </is>
      </c>
      <c r="E86" s="49" t="inlineStr">
        <is>
          <t>Consumer Cyclical</t>
        </is>
      </c>
      <c r="F86" s="50" t="n">
        <v>90209558528</v>
      </c>
      <c r="G86" s="49" t="inlineStr">
        <is>
          <t>nightly refresh</t>
        </is>
      </c>
      <c r="H86" s="48" t="n">
        <v>9</v>
      </c>
      <c r="I86" s="49" t="inlineStr">
        <is>
          <t>Yes</t>
        </is>
      </c>
      <c r="J86" s="49" t="inlineStr">
        <is>
          <t>1988-01-29</t>
        </is>
      </c>
      <c r="K86" s="48" t="n">
        <v>6780</v>
      </c>
      <c r="L86" s="49" t="inlineStr">
        <is>
          <t>2000-01-03</t>
        </is>
      </c>
      <c r="M86" s="49" t="inlineStr">
        <is>
          <t>2026-08-26</t>
        </is>
      </c>
      <c r="N86" s="48" t="n">
        <v>292</v>
      </c>
      <c r="O86" s="51" t="n">
        <v>-13.9619</v>
      </c>
      <c r="P86" s="51" t="n">
        <v>-63.5412</v>
      </c>
      <c r="Q86" s="51" t="n">
        <v>37.361</v>
      </c>
      <c r="R86" s="51" t="n">
        <v>-10.97</v>
      </c>
      <c r="S86" s="52">
        <f>IF($I86="Yes",$O86,"")</f>
        <v/>
      </c>
    </row>
    <row r="87">
      <c r="A87" s="43" t="inlineStr">
        <is>
          <t>A2M.AX</t>
        </is>
      </c>
      <c r="B87" s="44" t="inlineStr">
        <is>
          <t>The a2 Milk Company Limited</t>
        </is>
      </c>
      <c r="C87" s="44" t="inlineStr">
        <is>
          <t>AU</t>
        </is>
      </c>
      <c r="D87" s="44" t="inlineStr">
        <is>
          <t>ASX 200</t>
        </is>
      </c>
      <c r="E87" s="44" t="inlineStr">
        <is>
          <t>Consumer Defensive</t>
        </is>
      </c>
      <c r="F87" s="45" t="n">
        <v>4987182592</v>
      </c>
      <c r="G87" s="44" t="inlineStr">
        <is>
          <t>nightly refresh</t>
        </is>
      </c>
      <c r="H87" s="43" t="n">
        <v>107</v>
      </c>
      <c r="I87" s="44" t="inlineStr">
        <is>
          <t>No</t>
        </is>
      </c>
      <c r="J87" s="44" t="inlineStr">
        <is>
          <t>2015-03-31</t>
        </is>
      </c>
      <c r="K87" s="43" t="n">
        <v>2889</v>
      </c>
      <c r="L87" s="44" t="inlineStr">
        <is>
          <t>2015-03-31</t>
        </is>
      </c>
      <c r="M87" s="44" t="inlineStr">
        <is>
          <t>2026-08-26</t>
        </is>
      </c>
      <c r="N87" s="43" t="n">
        <v>158</v>
      </c>
      <c r="O87" s="46" t="n">
        <v>-27.127</v>
      </c>
      <c r="P87" s="46" t="n">
        <v>-72.5187</v>
      </c>
      <c r="Q87" s="46" t="n">
        <v>92.4374</v>
      </c>
      <c r="R87" s="46" t="n">
        <v>-28.0789</v>
      </c>
      <c r="S87" s="47">
        <f>IF($I87="Yes",$O87,"")</f>
        <v/>
      </c>
    </row>
    <row r="88">
      <c r="A88" s="48" t="inlineStr">
        <is>
          <t>BGA.AX</t>
        </is>
      </c>
      <c r="B88" s="49" t="inlineStr">
        <is>
          <t>Bega Cheese Limited</t>
        </is>
      </c>
      <c r="C88" s="49" t="inlineStr">
        <is>
          <t>AU</t>
        </is>
      </c>
      <c r="D88" s="49" t="inlineStr">
        <is>
          <t>ASX 200</t>
        </is>
      </c>
      <c r="E88" s="49" t="inlineStr">
        <is>
          <t>Consumer Defensive</t>
        </is>
      </c>
      <c r="F88" s="50" t="n">
        <v>1873162496</v>
      </c>
      <c r="G88" s="49" t="inlineStr">
        <is>
          <t>nightly refresh</t>
        </is>
      </c>
      <c r="H88" s="48" t="n">
        <v>166</v>
      </c>
      <c r="I88" s="49" t="inlineStr">
        <is>
          <t>No</t>
        </is>
      </c>
      <c r="J88" s="49" t="inlineStr">
        <is>
          <t>2011-08-30</t>
        </is>
      </c>
      <c r="K88" s="48" t="n">
        <v>3794</v>
      </c>
      <c r="L88" s="49" t="inlineStr">
        <is>
          <t>2011-08-30</t>
        </is>
      </c>
      <c r="M88" s="49" t="inlineStr">
        <is>
          <t>2026-08-26</t>
        </is>
      </c>
      <c r="N88" s="48" t="n">
        <v>182</v>
      </c>
      <c r="O88" s="51" t="n">
        <v>-19.2654</v>
      </c>
      <c r="P88" s="51" t="n">
        <v>-51.7746</v>
      </c>
      <c r="Q88" s="51" t="n">
        <v>47.6806</v>
      </c>
      <c r="R88" s="51" t="n">
        <v>-8.9575</v>
      </c>
      <c r="S88" s="52">
        <f>IF($I88="Yes",$O88,"")</f>
        <v/>
      </c>
    </row>
    <row r="89">
      <c r="A89" s="43" t="inlineStr">
        <is>
          <t>COL.AX</t>
        </is>
      </c>
      <c r="B89" s="44" t="inlineStr">
        <is>
          <t>Coles Group Limited</t>
        </is>
      </c>
      <c r="C89" s="44" t="inlineStr">
        <is>
          <t>AU</t>
        </is>
      </c>
      <c r="D89" s="44" t="inlineStr">
        <is>
          <t>ASX 200</t>
        </is>
      </c>
      <c r="E89" s="44" t="inlineStr">
        <is>
          <t>Consumer Defensive</t>
        </is>
      </c>
      <c r="F89" s="45" t="n">
        <v>31885195264</v>
      </c>
      <c r="G89" s="44" t="inlineStr">
        <is>
          <t>nightly refresh</t>
        </is>
      </c>
      <c r="H89" s="43" t="n">
        <v>23</v>
      </c>
      <c r="I89" s="44" t="inlineStr">
        <is>
          <t>Yes</t>
        </is>
      </c>
      <c r="J89" s="44" t="inlineStr">
        <is>
          <t>2018-11-21</t>
        </is>
      </c>
      <c r="K89" s="43" t="n">
        <v>1964</v>
      </c>
      <c r="L89" s="44" t="inlineStr">
        <is>
          <t>2018-11-21</t>
        </is>
      </c>
      <c r="M89" s="44" t="inlineStr">
        <is>
          <t>2026-08-26</t>
        </is>
      </c>
      <c r="N89" s="43" t="n">
        <v>87</v>
      </c>
      <c r="O89" s="46" t="n">
        <v>-11.2282</v>
      </c>
      <c r="P89" s="46" t="n">
        <v>-19.1998</v>
      </c>
      <c r="Q89" s="46" t="n">
        <v>26.1465</v>
      </c>
      <c r="R89" s="46" t="n">
        <v>-2.2773</v>
      </c>
      <c r="S89" s="47">
        <f>IF($I89="Yes",$O89,"")</f>
        <v/>
      </c>
    </row>
    <row r="90">
      <c r="A90" s="48" t="inlineStr">
        <is>
          <t>EDV.AX</t>
        </is>
      </c>
      <c r="B90" s="49" t="inlineStr">
        <is>
          <t>Endeavour Group Limited</t>
        </is>
      </c>
      <c r="C90" s="49" t="inlineStr">
        <is>
          <t>AU</t>
        </is>
      </c>
      <c r="D90" s="49" t="inlineStr">
        <is>
          <t>ASX 200</t>
        </is>
      </c>
      <c r="E90" s="49" t="inlineStr">
        <is>
          <t>Consumer Defensive</t>
        </is>
      </c>
      <c r="F90" s="50" t="n">
        <v>5494920704</v>
      </c>
      <c r="G90" s="49" t="inlineStr">
        <is>
          <t>nightly refresh</t>
        </is>
      </c>
      <c r="H90" s="48" t="n">
        <v>102</v>
      </c>
      <c r="I90" s="49" t="inlineStr">
        <is>
          <t>No</t>
        </is>
      </c>
      <c r="J90" s="49" t="inlineStr">
        <is>
          <t>2021-06-24</t>
        </is>
      </c>
      <c r="K90" s="48" t="n">
        <v>1310</v>
      </c>
      <c r="L90" s="49" t="inlineStr">
        <is>
          <t>2021-06-24</t>
        </is>
      </c>
      <c r="M90" s="49" t="inlineStr">
        <is>
          <t>2026-08-26</t>
        </is>
      </c>
      <c r="N90" s="48" t="n">
        <v>70</v>
      </c>
      <c r="O90" s="51" t="n">
        <v>-21.1311</v>
      </c>
      <c r="P90" s="51" t="n">
        <v>-32.6756</v>
      </c>
      <c r="Q90" s="51" t="n">
        <v>17.8913</v>
      </c>
      <c r="R90" s="51" t="n">
        <v>-23.6184</v>
      </c>
      <c r="S90" s="52">
        <f>IF($I90="Yes",$O90,"")</f>
        <v/>
      </c>
    </row>
    <row r="91">
      <c r="A91" s="43" t="inlineStr">
        <is>
          <t>ELD.AX</t>
        </is>
      </c>
      <c r="B91" s="44" t="inlineStr">
        <is>
          <t>Elders Limited</t>
        </is>
      </c>
      <c r="C91" s="44" t="inlineStr">
        <is>
          <t>AU</t>
        </is>
      </c>
      <c r="D91" s="44" t="inlineStr">
        <is>
          <t>ASX 200</t>
        </is>
      </c>
      <c r="E91" s="44" t="inlineStr">
        <is>
          <t>Consumer Defensive</t>
        </is>
      </c>
      <c r="F91" s="45" t="n">
        <v>1270852992</v>
      </c>
      <c r="G91" s="44" t="inlineStr">
        <is>
          <t>nightly refresh</t>
        </is>
      </c>
      <c r="H91" s="43" t="n">
        <v>192</v>
      </c>
      <c r="I91" s="44" t="inlineStr">
        <is>
          <t>No</t>
        </is>
      </c>
      <c r="J91" s="44" t="inlineStr">
        <is>
          <t>1988-01-29</t>
        </is>
      </c>
      <c r="K91" s="43" t="n">
        <v>6780</v>
      </c>
      <c r="L91" s="44" t="inlineStr">
        <is>
          <t>2000-01-03</t>
        </is>
      </c>
      <c r="M91" s="44" t="inlineStr">
        <is>
          <t>2026-08-26</t>
        </is>
      </c>
      <c r="N91" s="43" t="n">
        <v>317</v>
      </c>
      <c r="O91" s="46" t="n">
        <v>-28.1388</v>
      </c>
      <c r="P91" s="46" t="n">
        <v>-92.32559999999999</v>
      </c>
      <c r="Q91" s="46" t="n">
        <v>55.3961</v>
      </c>
      <c r="R91" s="46" t="n">
        <v>-22.3002</v>
      </c>
      <c r="S91" s="47">
        <f>IF($I91="Yes",$O91,"")</f>
        <v/>
      </c>
    </row>
    <row r="92">
      <c r="A92" s="48" t="inlineStr">
        <is>
          <t>GNC.AX</t>
        </is>
      </c>
      <c r="B92" s="49" t="inlineStr">
        <is>
          <t>GrainCorp Limited</t>
        </is>
      </c>
      <c r="C92" s="49" t="inlineStr">
        <is>
          <t>AU</t>
        </is>
      </c>
      <c r="D92" s="49" t="inlineStr">
        <is>
          <t>ASX 200</t>
        </is>
      </c>
      <c r="E92" s="49" t="inlineStr">
        <is>
          <t>Consumer Defensive</t>
        </is>
      </c>
      <c r="F92" s="50" t="n">
        <v>1347281280</v>
      </c>
      <c r="G92" s="49" t="inlineStr">
        <is>
          <t>nightly refresh</t>
        </is>
      </c>
      <c r="H92" s="48" t="n">
        <v>189</v>
      </c>
      <c r="I92" s="49" t="inlineStr">
        <is>
          <t>No</t>
        </is>
      </c>
      <c r="J92" s="49" t="inlineStr">
        <is>
          <t>1998-03-31</t>
        </is>
      </c>
      <c r="K92" s="48" t="n">
        <v>6780</v>
      </c>
      <c r="L92" s="49" t="inlineStr">
        <is>
          <t>2000-01-03</t>
        </is>
      </c>
      <c r="M92" s="49" t="inlineStr">
        <is>
          <t>2026-08-26</t>
        </is>
      </c>
      <c r="N92" s="48" t="n">
        <v>292</v>
      </c>
      <c r="O92" s="51" t="n">
        <v>-20.963</v>
      </c>
      <c r="P92" s="51" t="n">
        <v>-65.8182</v>
      </c>
      <c r="Q92" s="51" t="n">
        <v>37.2926</v>
      </c>
      <c r="R92" s="51" t="n">
        <v>-34.6229</v>
      </c>
      <c r="S92" s="52">
        <f>IF($I92="Yes",$O92,"")</f>
        <v/>
      </c>
    </row>
    <row r="93">
      <c r="A93" s="43" t="inlineStr">
        <is>
          <t>MTS.AX</t>
        </is>
      </c>
      <c r="B93" s="44" t="inlineStr">
        <is>
          <t>Metcash Limited</t>
        </is>
      </c>
      <c r="C93" s="44" t="inlineStr">
        <is>
          <t>AU</t>
        </is>
      </c>
      <c r="D93" s="44" t="inlineStr">
        <is>
          <t>ASX 200</t>
        </is>
      </c>
      <c r="E93" s="44" t="inlineStr">
        <is>
          <t>Consumer Defensive</t>
        </is>
      </c>
      <c r="F93" s="45" t="n">
        <v>3244192256</v>
      </c>
      <c r="G93" s="44" t="inlineStr">
        <is>
          <t>nightly refresh</t>
        </is>
      </c>
      <c r="H93" s="43" t="n">
        <v>130</v>
      </c>
      <c r="I93" s="44" t="inlineStr">
        <is>
          <t>No</t>
        </is>
      </c>
      <c r="J93" s="44" t="inlineStr">
        <is>
          <t>1994-06-30</t>
        </is>
      </c>
      <c r="K93" s="43" t="n">
        <v>6780</v>
      </c>
      <c r="L93" s="44" t="inlineStr">
        <is>
          <t>2000-01-03</t>
        </is>
      </c>
      <c r="M93" s="44" t="inlineStr">
        <is>
          <t>2026-08-26</t>
        </is>
      </c>
      <c r="N93" s="43" t="n">
        <v>288</v>
      </c>
      <c r="O93" s="46" t="n">
        <v>-18.1561</v>
      </c>
      <c r="P93" s="46" t="n">
        <v>-65.54689999999999</v>
      </c>
      <c r="Q93" s="46" t="n">
        <v>40.3481</v>
      </c>
      <c r="R93" s="46" t="n">
        <v>-27.268</v>
      </c>
      <c r="S93" s="47">
        <f>IF($I93="Yes",$O93,"")</f>
        <v/>
      </c>
    </row>
    <row r="94">
      <c r="A94" s="48" t="inlineStr">
        <is>
          <t>TWE.AX</t>
        </is>
      </c>
      <c r="B94" s="49" t="inlineStr">
        <is>
          <t>Treasury Wine Estates Limited</t>
        </is>
      </c>
      <c r="C94" s="49" t="inlineStr">
        <is>
          <t>AU</t>
        </is>
      </c>
      <c r="D94" s="49" t="inlineStr">
        <is>
          <t>ASX 200</t>
        </is>
      </c>
      <c r="E94" s="49" t="inlineStr">
        <is>
          <t>Consumer Defensive</t>
        </is>
      </c>
      <c r="F94" s="50" t="n">
        <v>4497691136</v>
      </c>
      <c r="G94" s="49" t="inlineStr">
        <is>
          <t>nightly refresh</t>
        </is>
      </c>
      <c r="H94" s="48" t="n">
        <v>115</v>
      </c>
      <c r="I94" s="49" t="inlineStr">
        <is>
          <t>No</t>
        </is>
      </c>
      <c r="J94" s="49" t="inlineStr">
        <is>
          <t>2011-05-09</t>
        </is>
      </c>
      <c r="K94" s="48" t="n">
        <v>3873</v>
      </c>
      <c r="L94" s="49" t="inlineStr">
        <is>
          <t>2011-05-09</t>
        </is>
      </c>
      <c r="M94" s="49" t="inlineStr">
        <is>
          <t>2026-08-26</t>
        </is>
      </c>
      <c r="N94" s="48" t="n">
        <v>202</v>
      </c>
      <c r="O94" s="51" t="n">
        <v>-20.4382</v>
      </c>
      <c r="P94" s="51" t="n">
        <v>-65.5921</v>
      </c>
      <c r="Q94" s="51" t="n">
        <v>40.3417</v>
      </c>
      <c r="R94" s="51" t="n">
        <v>-28.4635</v>
      </c>
      <c r="S94" s="52">
        <f>IF($I94="Yes",$O94,"")</f>
        <v/>
      </c>
    </row>
    <row r="95">
      <c r="A95" s="43" t="inlineStr">
        <is>
          <t>WOW.AX</t>
        </is>
      </c>
      <c r="B95" s="44" t="inlineStr">
        <is>
          <t>Woolworths Group Limited</t>
        </is>
      </c>
      <c r="C95" s="44" t="inlineStr">
        <is>
          <t>AU</t>
        </is>
      </c>
      <c r="D95" s="44" t="inlineStr">
        <is>
          <t>ASX 200</t>
        </is>
      </c>
      <c r="E95" s="44" t="inlineStr">
        <is>
          <t>Consumer Defensive</t>
        </is>
      </c>
      <c r="F95" s="45" t="n">
        <v>48314249216</v>
      </c>
      <c r="G95" s="44" t="inlineStr">
        <is>
          <t>nightly refresh</t>
        </is>
      </c>
      <c r="H95" s="43" t="n">
        <v>16</v>
      </c>
      <c r="I95" s="44" t="inlineStr">
        <is>
          <t>Yes</t>
        </is>
      </c>
      <c r="J95" s="44" t="inlineStr">
        <is>
          <t>1993-07-30</t>
        </is>
      </c>
      <c r="K95" s="43" t="n">
        <v>6780</v>
      </c>
      <c r="L95" s="44" t="inlineStr">
        <is>
          <t>2000-01-03</t>
        </is>
      </c>
      <c r="M95" s="44" t="inlineStr">
        <is>
          <t>2026-08-26</t>
        </is>
      </c>
      <c r="N95" s="43" t="n">
        <v>290</v>
      </c>
      <c r="O95" s="46" t="n">
        <v>-13.1013</v>
      </c>
      <c r="P95" s="46" t="n">
        <v>-32.881</v>
      </c>
      <c r="Q95" s="46" t="n">
        <v>28.1846</v>
      </c>
      <c r="R95" s="46" t="n">
        <v>-2.452</v>
      </c>
      <c r="S95" s="47">
        <f>IF($I95="Yes",$O95,"")</f>
        <v/>
      </c>
    </row>
    <row r="96">
      <c r="A96" s="48" t="inlineStr">
        <is>
          <t>ALD.AX</t>
        </is>
      </c>
      <c r="B96" s="49" t="inlineStr">
        <is>
          <t>Ampol Limited</t>
        </is>
      </c>
      <c r="C96" s="49" t="inlineStr">
        <is>
          <t>AU</t>
        </is>
      </c>
      <c r="D96" s="49" t="inlineStr">
        <is>
          <t>ASX 200</t>
        </is>
      </c>
      <c r="E96" s="49" t="inlineStr">
        <is>
          <t>Energy</t>
        </is>
      </c>
      <c r="F96" s="50" t="n">
        <v>10070645760</v>
      </c>
      <c r="G96" s="49" t="inlineStr">
        <is>
          <t>nightly refresh</t>
        </is>
      </c>
      <c r="H96" s="48" t="n">
        <v>67</v>
      </c>
      <c r="I96" s="49" t="inlineStr">
        <is>
          <t>No</t>
        </is>
      </c>
      <c r="J96" s="49" t="inlineStr">
        <is>
          <t>1988-01-29</t>
        </is>
      </c>
      <c r="K96" s="48" t="n">
        <v>6780</v>
      </c>
      <c r="L96" s="49" t="inlineStr">
        <is>
          <t>2000-01-03</t>
        </is>
      </c>
      <c r="M96" s="49" t="inlineStr">
        <is>
          <t>2026-08-26</t>
        </is>
      </c>
      <c r="N96" s="48" t="n">
        <v>359</v>
      </c>
      <c r="O96" s="51" t="n">
        <v>-19.5432</v>
      </c>
      <c r="P96" s="51" t="n">
        <v>-70.393</v>
      </c>
      <c r="Q96" s="51" t="n">
        <v>56.0539</v>
      </c>
      <c r="R96" s="51" t="n">
        <v>-0.4408</v>
      </c>
      <c r="S96" s="52">
        <f>IF($I96="Yes",$O96,"")</f>
        <v/>
      </c>
    </row>
    <row r="97">
      <c r="A97" s="43" t="inlineStr">
        <is>
          <t>BPT.AX</t>
        </is>
      </c>
      <c r="B97" s="44" t="inlineStr">
        <is>
          <t>Beach Energy Limited</t>
        </is>
      </c>
      <c r="C97" s="44" t="inlineStr">
        <is>
          <t>AU</t>
        </is>
      </c>
      <c r="D97" s="44" t="inlineStr">
        <is>
          <t>ASX 200</t>
        </is>
      </c>
      <c r="E97" s="44" t="inlineStr">
        <is>
          <t>Energy</t>
        </is>
      </c>
      <c r="F97" s="45" t="n">
        <v>1973353728</v>
      </c>
      <c r="G97" s="44" t="inlineStr">
        <is>
          <t>nightly refresh</t>
        </is>
      </c>
      <c r="H97" s="43" t="n">
        <v>164</v>
      </c>
      <c r="I97" s="44" t="inlineStr">
        <is>
          <t>No</t>
        </is>
      </c>
      <c r="J97" s="44" t="inlineStr">
        <is>
          <t>1988-01-29</t>
        </is>
      </c>
      <c r="K97" s="43" t="n">
        <v>6780</v>
      </c>
      <c r="L97" s="44" t="inlineStr">
        <is>
          <t>2000-01-03</t>
        </is>
      </c>
      <c r="M97" s="44" t="inlineStr">
        <is>
          <t>2026-08-26</t>
        </is>
      </c>
      <c r="N97" s="43" t="n">
        <v>319</v>
      </c>
      <c r="O97" s="46" t="n">
        <v>-26.7054</v>
      </c>
      <c r="P97" s="46" t="n">
        <v>-71.5051</v>
      </c>
      <c r="Q97" s="46" t="n">
        <v>60.7041</v>
      </c>
      <c r="R97" s="46" t="n">
        <v>-34.8315</v>
      </c>
      <c r="S97" s="47">
        <f>IF($I97="Yes",$O97,"")</f>
        <v/>
      </c>
    </row>
    <row r="98">
      <c r="A98" s="48" t="inlineStr">
        <is>
          <t>DYL.AX</t>
        </is>
      </c>
      <c r="B98" s="49" t="inlineStr">
        <is>
          <t>Deep Yellow Limited</t>
        </is>
      </c>
      <c r="C98" s="49" t="inlineStr">
        <is>
          <t>AU</t>
        </is>
      </c>
      <c r="D98" s="49" t="inlineStr">
        <is>
          <t>ASX 200</t>
        </is>
      </c>
      <c r="E98" s="49" t="inlineStr">
        <is>
          <t>Energy</t>
        </is>
      </c>
      <c r="F98" s="50" t="n">
        <v>1699982976</v>
      </c>
      <c r="G98" s="49" t="inlineStr">
        <is>
          <t>nightly refresh</t>
        </is>
      </c>
      <c r="H98" s="48" t="n">
        <v>175</v>
      </c>
      <c r="I98" s="49" t="inlineStr">
        <is>
          <t>No</t>
        </is>
      </c>
      <c r="J98" s="49" t="inlineStr">
        <is>
          <t>1988-01-29</t>
        </is>
      </c>
      <c r="K98" s="48" t="n">
        <v>6780</v>
      </c>
      <c r="L98" s="49" t="inlineStr">
        <is>
          <t>2000-01-03</t>
        </is>
      </c>
      <c r="M98" s="49" t="inlineStr">
        <is>
          <t>2026-08-26</t>
        </is>
      </c>
      <c r="N98" s="48" t="n">
        <v>251</v>
      </c>
      <c r="O98" s="51" t="n">
        <v>-47.4347</v>
      </c>
      <c r="P98" s="51" t="n">
        <v>-93.126</v>
      </c>
      <c r="Q98" s="51" t="n">
        <v>174.2519</v>
      </c>
      <c r="R98" s="51" t="n">
        <v>-39.3939</v>
      </c>
      <c r="S98" s="52">
        <f>IF($I98="Yes",$O98,"")</f>
        <v/>
      </c>
    </row>
    <row r="99">
      <c r="A99" s="43" t="inlineStr">
        <is>
          <t>KAR.AX</t>
        </is>
      </c>
      <c r="B99" s="44" t="inlineStr">
        <is>
          <t>Karoon Energy Ltd</t>
        </is>
      </c>
      <c r="C99" s="44" t="inlineStr">
        <is>
          <t>AU</t>
        </is>
      </c>
      <c r="D99" s="44" t="inlineStr">
        <is>
          <t>ASX 200</t>
        </is>
      </c>
      <c r="E99" s="44" t="inlineStr">
        <is>
          <t>Energy</t>
        </is>
      </c>
      <c r="F99" s="45" t="n">
        <v>1183402496</v>
      </c>
      <c r="G99" s="44" t="inlineStr">
        <is>
          <t>nightly refresh</t>
        </is>
      </c>
      <c r="H99" s="43" t="n">
        <v>196</v>
      </c>
      <c r="I99" s="44" t="inlineStr">
        <is>
          <t>No</t>
        </is>
      </c>
      <c r="J99" s="44" t="inlineStr">
        <is>
          <t>2004-06-08</t>
        </is>
      </c>
      <c r="K99" s="43" t="n">
        <v>5624</v>
      </c>
      <c r="L99" s="44" t="inlineStr">
        <is>
          <t>2004-06-08</t>
        </is>
      </c>
      <c r="M99" s="44" t="inlineStr">
        <is>
          <t>2026-08-26</t>
        </is>
      </c>
      <c r="N99" s="43" t="n">
        <v>290</v>
      </c>
      <c r="O99" s="46" t="n">
        <v>-34.1333</v>
      </c>
      <c r="P99" s="46" t="n">
        <v>-78.6687</v>
      </c>
      <c r="Q99" s="46" t="n">
        <v>105.7472</v>
      </c>
      <c r="R99" s="46" t="n">
        <v>-23.4513</v>
      </c>
      <c r="S99" s="47">
        <f>IF($I99="Yes",$O99,"")</f>
        <v/>
      </c>
    </row>
    <row r="100">
      <c r="A100" s="48" t="inlineStr">
        <is>
          <t>NHC.AX</t>
        </is>
      </c>
      <c r="B100" s="49" t="inlineStr">
        <is>
          <t>New Hope Corporation Limited</t>
        </is>
      </c>
      <c r="C100" s="49" t="inlineStr">
        <is>
          <t>AU</t>
        </is>
      </c>
      <c r="D100" s="49" t="inlineStr">
        <is>
          <t>ASX 200</t>
        </is>
      </c>
      <c r="E100" s="49" t="inlineStr">
        <is>
          <t>Energy</t>
        </is>
      </c>
      <c r="F100" s="50" t="n">
        <v>4961385472</v>
      </c>
      <c r="G100" s="49" t="inlineStr">
        <is>
          <t>nightly refresh</t>
        </is>
      </c>
      <c r="H100" s="48" t="n">
        <v>108</v>
      </c>
      <c r="I100" s="49" t="inlineStr">
        <is>
          <t>No</t>
        </is>
      </c>
      <c r="J100" s="49" t="inlineStr">
        <is>
          <t>2003-09-15</t>
        </is>
      </c>
      <c r="K100" s="48" t="n">
        <v>5815</v>
      </c>
      <c r="L100" s="49" t="inlineStr">
        <is>
          <t>2003-09-15</t>
        </is>
      </c>
      <c r="M100" s="49" t="inlineStr">
        <is>
          <t>2026-08-26</t>
        </is>
      </c>
      <c r="N100" s="48" t="n">
        <v>301</v>
      </c>
      <c r="O100" s="51" t="n">
        <v>-22.3066</v>
      </c>
      <c r="P100" s="51" t="n">
        <v>-73.9517</v>
      </c>
      <c r="Q100" s="51" t="n">
        <v>69.22239999999999</v>
      </c>
      <c r="R100" s="51" t="n">
        <v>-5.1864</v>
      </c>
      <c r="S100" s="52">
        <f>IF($I100="Yes",$O100,"")</f>
        <v/>
      </c>
    </row>
    <row r="101">
      <c r="A101" s="43" t="inlineStr">
        <is>
          <t>NXG.AX</t>
        </is>
      </c>
      <c r="B101" s="44" t="inlineStr">
        <is>
          <t>NexGen Energy Ltd.</t>
        </is>
      </c>
      <c r="C101" s="44" t="inlineStr">
        <is>
          <t>AU</t>
        </is>
      </c>
      <c r="D101" s="44" t="inlineStr">
        <is>
          <t>ASX 200</t>
        </is>
      </c>
      <c r="E101" s="44" t="inlineStr">
        <is>
          <t>Energy</t>
        </is>
      </c>
      <c r="F101" s="45" t="n">
        <v>10127214592</v>
      </c>
      <c r="G101" s="44" t="inlineStr">
        <is>
          <t>nightly refresh</t>
        </is>
      </c>
      <c r="H101" s="43" t="n">
        <v>66</v>
      </c>
      <c r="I101" s="44" t="inlineStr">
        <is>
          <t>No</t>
        </is>
      </c>
      <c r="J101" s="44" t="inlineStr">
        <is>
          <t>2021-07-02</t>
        </is>
      </c>
      <c r="K101" s="43" t="n">
        <v>1304</v>
      </c>
      <c r="L101" s="44" t="inlineStr">
        <is>
          <t>2021-07-02</t>
        </is>
      </c>
      <c r="M101" s="44" t="inlineStr">
        <is>
          <t>2026-08-26</t>
        </is>
      </c>
      <c r="N101" s="43" t="n">
        <v>75</v>
      </c>
      <c r="O101" s="46" t="n">
        <v>-25.4824</v>
      </c>
      <c r="P101" s="46" t="n">
        <v>-51.8847</v>
      </c>
      <c r="Q101" s="46" t="n">
        <v>76.3276</v>
      </c>
      <c r="R101" s="46" t="n">
        <v>-23.5467</v>
      </c>
      <c r="S101" s="47">
        <f>IF($I101="Yes",$O101,"")</f>
        <v/>
      </c>
    </row>
    <row r="102">
      <c r="A102" s="48" t="inlineStr">
        <is>
          <t>PDN.AX</t>
        </is>
      </c>
      <c r="B102" s="49" t="inlineStr">
        <is>
          <t>Paladin Energy Ltd</t>
        </is>
      </c>
      <c r="C102" s="49" t="inlineStr">
        <is>
          <t>AU</t>
        </is>
      </c>
      <c r="D102" s="49" t="inlineStr">
        <is>
          <t>ASX 200</t>
        </is>
      </c>
      <c r="E102" s="49" t="inlineStr">
        <is>
          <t>Energy</t>
        </is>
      </c>
      <c r="F102" s="50" t="n">
        <v>5428249600</v>
      </c>
      <c r="G102" s="49" t="inlineStr">
        <is>
          <t>nightly refresh</t>
        </is>
      </c>
      <c r="H102" s="48" t="n">
        <v>103</v>
      </c>
      <c r="I102" s="49" t="inlineStr">
        <is>
          <t>No</t>
        </is>
      </c>
      <c r="J102" s="49" t="inlineStr">
        <is>
          <t>1994-03-31</t>
        </is>
      </c>
      <c r="K102" s="48" t="n">
        <v>6780</v>
      </c>
      <c r="L102" s="49" t="inlineStr">
        <is>
          <t>2000-01-03</t>
        </is>
      </c>
      <c r="M102" s="49" t="inlineStr">
        <is>
          <t>2026-08-26</t>
        </is>
      </c>
      <c r="N102" s="48" t="n">
        <v>316</v>
      </c>
      <c r="O102" s="51" t="n">
        <v>-40.9354</v>
      </c>
      <c r="P102" s="51" t="n">
        <v>-82.85720000000001</v>
      </c>
      <c r="Q102" s="51" t="n">
        <v>230.6479</v>
      </c>
      <c r="R102" s="51" t="n">
        <v>-16.755</v>
      </c>
      <c r="S102" s="52">
        <f>IF($I102="Yes",$O102,"")</f>
        <v/>
      </c>
    </row>
    <row r="103">
      <c r="A103" s="43" t="inlineStr">
        <is>
          <t>STO.AX</t>
        </is>
      </c>
      <c r="B103" s="44" t="inlineStr">
        <is>
          <t>Santos Limited</t>
        </is>
      </c>
      <c r="C103" s="44" t="inlineStr">
        <is>
          <t>AU</t>
        </is>
      </c>
      <c r="D103" s="44" t="inlineStr">
        <is>
          <t>ASX 200</t>
        </is>
      </c>
      <c r="E103" s="44" t="inlineStr">
        <is>
          <t>Energy</t>
        </is>
      </c>
      <c r="F103" s="45" t="n">
        <v>26177050624</v>
      </c>
      <c r="G103" s="44" t="inlineStr">
        <is>
          <t>nightly refresh</t>
        </is>
      </c>
      <c r="H103" s="43" t="n">
        <v>26</v>
      </c>
      <c r="I103" s="44" t="inlineStr">
        <is>
          <t>Yes</t>
        </is>
      </c>
      <c r="J103" s="44" t="inlineStr">
        <is>
          <t>1988-01-29</t>
        </is>
      </c>
      <c r="K103" s="43" t="n">
        <v>6780</v>
      </c>
      <c r="L103" s="44" t="inlineStr">
        <is>
          <t>2000-01-03</t>
        </is>
      </c>
      <c r="M103" s="44" t="inlineStr">
        <is>
          <t>2026-08-26</t>
        </is>
      </c>
      <c r="N103" s="43" t="n">
        <v>364</v>
      </c>
      <c r="O103" s="46" t="n">
        <v>-19.8926</v>
      </c>
      <c r="P103" s="46" t="n">
        <v>-70.4348</v>
      </c>
      <c r="Q103" s="46" t="n">
        <v>44.8777</v>
      </c>
      <c r="R103" s="46" t="n">
        <v>-4.9831</v>
      </c>
      <c r="S103" s="47">
        <f>IF($I103="Yes",$O103,"")</f>
        <v/>
      </c>
    </row>
    <row r="104">
      <c r="A104" s="48" t="inlineStr">
        <is>
          <t>VEA.AX</t>
        </is>
      </c>
      <c r="B104" s="49" t="inlineStr">
        <is>
          <t>Viva Energy Group Limited</t>
        </is>
      </c>
      <c r="C104" s="49" t="inlineStr">
        <is>
          <t>AU</t>
        </is>
      </c>
      <c r="D104" s="49" t="inlineStr">
        <is>
          <t>ASX 200</t>
        </is>
      </c>
      <c r="E104" s="49" t="inlineStr">
        <is>
          <t>Energy</t>
        </is>
      </c>
      <c r="F104" s="50" t="n">
        <v>4714035200</v>
      </c>
      <c r="G104" s="49" t="inlineStr">
        <is>
          <t>nightly refresh</t>
        </is>
      </c>
      <c r="H104" s="48" t="n">
        <v>112</v>
      </c>
      <c r="I104" s="49" t="inlineStr">
        <is>
          <t>No</t>
        </is>
      </c>
      <c r="J104" s="49" t="inlineStr">
        <is>
          <t>2018-07-13</t>
        </is>
      </c>
      <c r="K104" s="48" t="n">
        <v>2057</v>
      </c>
      <c r="L104" s="49" t="inlineStr">
        <is>
          <t>2018-07-13</t>
        </is>
      </c>
      <c r="M104" s="49" t="inlineStr">
        <is>
          <t>2026-08-26</t>
        </is>
      </c>
      <c r="N104" s="48" t="n">
        <v>99</v>
      </c>
      <c r="O104" s="51" t="n">
        <v>-22.3379</v>
      </c>
      <c r="P104" s="51" t="n">
        <v>-58.939</v>
      </c>
      <c r="Q104" s="51" t="n">
        <v>40.4019</v>
      </c>
      <c r="R104" s="51" t="n">
        <v>-0.3472</v>
      </c>
      <c r="S104" s="52">
        <f>IF($I104="Yes",$O104,"")</f>
        <v/>
      </c>
    </row>
    <row r="105">
      <c r="A105" s="43" t="inlineStr">
        <is>
          <t>WDS.AX</t>
        </is>
      </c>
      <c r="B105" s="44" t="inlineStr">
        <is>
          <t>Woodside Energy Group Ltd</t>
        </is>
      </c>
      <c r="C105" s="44" t="inlineStr">
        <is>
          <t>AU</t>
        </is>
      </c>
      <c r="D105" s="44" t="inlineStr">
        <is>
          <t>ASX 200</t>
        </is>
      </c>
      <c r="E105" s="44" t="inlineStr">
        <is>
          <t>Energy</t>
        </is>
      </c>
      <c r="F105" s="45" t="n">
        <v>60835205120</v>
      </c>
      <c r="G105" s="44" t="inlineStr">
        <is>
          <t>nightly refresh</t>
        </is>
      </c>
      <c r="H105" s="43" t="n">
        <v>12</v>
      </c>
      <c r="I105" s="44" t="inlineStr">
        <is>
          <t>Yes</t>
        </is>
      </c>
      <c r="J105" s="44" t="inlineStr">
        <is>
          <t>1988-01-29</t>
        </is>
      </c>
      <c r="K105" s="43" t="n">
        <v>6780</v>
      </c>
      <c r="L105" s="44" t="inlineStr">
        <is>
          <t>2000-01-03</t>
        </is>
      </c>
      <c r="M105" s="44" t="inlineStr">
        <is>
          <t>2026-08-26</t>
        </is>
      </c>
      <c r="N105" s="43" t="n">
        <v>362</v>
      </c>
      <c r="O105" s="46" t="n">
        <v>-18.6759</v>
      </c>
      <c r="P105" s="46" t="n">
        <v>-59.2046</v>
      </c>
      <c r="Q105" s="46" t="n">
        <v>37.2549</v>
      </c>
      <c r="R105" s="46" t="n">
        <v>-10.8878</v>
      </c>
      <c r="S105" s="47">
        <f>IF($I105="Yes",$O105,"")</f>
        <v/>
      </c>
    </row>
    <row r="106">
      <c r="A106" s="48" t="inlineStr">
        <is>
          <t>WHC.AX</t>
        </is>
      </c>
      <c r="B106" s="49" t="inlineStr">
        <is>
          <t>Whitehaven Coal Limited</t>
        </is>
      </c>
      <c r="C106" s="49" t="inlineStr">
        <is>
          <t>AU</t>
        </is>
      </c>
      <c r="D106" s="49" t="inlineStr">
        <is>
          <t>ASX 200</t>
        </is>
      </c>
      <c r="E106" s="49" t="inlineStr">
        <is>
          <t>Energy</t>
        </is>
      </c>
      <c r="F106" s="50" t="n">
        <v>6677268992</v>
      </c>
      <c r="G106" s="49" t="inlineStr">
        <is>
          <t>nightly refresh</t>
        </is>
      </c>
      <c r="H106" s="48" t="n">
        <v>85</v>
      </c>
      <c r="I106" s="49" t="inlineStr">
        <is>
          <t>No</t>
        </is>
      </c>
      <c r="J106" s="49" t="inlineStr">
        <is>
          <t>2007-06-01</t>
        </is>
      </c>
      <c r="K106" s="48" t="n">
        <v>4867</v>
      </c>
      <c r="L106" s="49" t="inlineStr">
        <is>
          <t>2007-06-01</t>
        </is>
      </c>
      <c r="M106" s="49" t="inlineStr">
        <is>
          <t>2026-08-26</t>
        </is>
      </c>
      <c r="N106" s="48" t="n">
        <v>267</v>
      </c>
      <c r="O106" s="51" t="n">
        <v>-29.0992</v>
      </c>
      <c r="P106" s="51" t="n">
        <v>-80.6996</v>
      </c>
      <c r="Q106" s="51" t="n">
        <v>109.6492</v>
      </c>
      <c r="R106" s="51" t="n">
        <v>-18.4848</v>
      </c>
      <c r="S106" s="52">
        <f>IF($I106="Yes",$O106,"")</f>
        <v/>
      </c>
    </row>
    <row r="107">
      <c r="A107" s="43" t="inlineStr">
        <is>
          <t>WOR.AX</t>
        </is>
      </c>
      <c r="B107" s="44" t="inlineStr">
        <is>
          <t>Worley Limited</t>
        </is>
      </c>
      <c r="C107" s="44" t="inlineStr">
        <is>
          <t>AU</t>
        </is>
      </c>
      <c r="D107" s="44" t="inlineStr">
        <is>
          <t>ASX 200</t>
        </is>
      </c>
      <c r="E107" s="44" t="inlineStr">
        <is>
          <t>Energy</t>
        </is>
      </c>
      <c r="F107" s="45" t="n">
        <v>4935120896</v>
      </c>
      <c r="G107" s="44" t="inlineStr">
        <is>
          <t>nightly refresh</t>
        </is>
      </c>
      <c r="H107" s="43" t="n">
        <v>109</v>
      </c>
      <c r="I107" s="44" t="inlineStr">
        <is>
          <t>No</t>
        </is>
      </c>
      <c r="J107" s="44" t="inlineStr">
        <is>
          <t>2002-11-27</t>
        </is>
      </c>
      <c r="K107" s="43" t="n">
        <v>6023</v>
      </c>
      <c r="L107" s="44" t="inlineStr">
        <is>
          <t>2002-11-27</t>
        </is>
      </c>
      <c r="M107" s="44" t="inlineStr">
        <is>
          <t>2026-08-26</t>
        </is>
      </c>
      <c r="N107" s="43" t="n">
        <v>337</v>
      </c>
      <c r="O107" s="46" t="n">
        <v>-24.0587</v>
      </c>
      <c r="P107" s="46" t="n">
        <v>-79.176</v>
      </c>
      <c r="Q107" s="46" t="n">
        <v>67.765</v>
      </c>
      <c r="R107" s="46" t="n">
        <v>-31.8278</v>
      </c>
      <c r="S107" s="47">
        <f>IF($I107="Yes",$O107,"")</f>
        <v/>
      </c>
    </row>
    <row r="108">
      <c r="A108" s="48" t="inlineStr">
        <is>
          <t>YAL.AX</t>
        </is>
      </c>
      <c r="B108" s="49" t="inlineStr">
        <is>
          <t>Yancoal Australia Ltd</t>
        </is>
      </c>
      <c r="C108" s="49" t="inlineStr">
        <is>
          <t>AU</t>
        </is>
      </c>
      <c r="D108" s="49" t="inlineStr">
        <is>
          <t>ASX 200</t>
        </is>
      </c>
      <c r="E108" s="49" t="inlineStr">
        <is>
          <t>Energy</t>
        </is>
      </c>
      <c r="F108" s="50" t="n">
        <v>7896227840</v>
      </c>
      <c r="G108" s="49" t="inlineStr">
        <is>
          <t>nightly refresh</t>
        </is>
      </c>
      <c r="H108" s="48" t="n">
        <v>78</v>
      </c>
      <c r="I108" s="49" t="inlineStr">
        <is>
          <t>No</t>
        </is>
      </c>
      <c r="J108" s="49" t="inlineStr">
        <is>
          <t>2012-06-28</t>
        </is>
      </c>
      <c r="K108" s="48" t="n">
        <v>3587</v>
      </c>
      <c r="L108" s="49" t="inlineStr">
        <is>
          <t>2012-06-28</t>
        </is>
      </c>
      <c r="M108" s="49" t="inlineStr">
        <is>
          <t>2026-08-26</t>
        </is>
      </c>
      <c r="N108" s="48" t="n">
        <v>144</v>
      </c>
      <c r="O108" s="51" t="n">
        <v>-32.7299</v>
      </c>
      <c r="P108" s="51" t="n">
        <v>-84.2105</v>
      </c>
      <c r="Q108" s="51" t="n">
        <v>93.114</v>
      </c>
      <c r="R108" s="51" t="n">
        <v>-34.7682</v>
      </c>
      <c r="S108" s="52">
        <f>IF($I108="Yes",$O108,"")</f>
        <v/>
      </c>
    </row>
    <row r="109">
      <c r="A109" s="43" t="inlineStr">
        <is>
          <t>AMP.AX</t>
        </is>
      </c>
      <c r="B109" s="44" t="inlineStr">
        <is>
          <t>AMP Limited</t>
        </is>
      </c>
      <c r="C109" s="44" t="inlineStr">
        <is>
          <t>AU</t>
        </is>
      </c>
      <c r="D109" s="44" t="inlineStr">
        <is>
          <t>ASX 200</t>
        </is>
      </c>
      <c r="E109" s="44" t="inlineStr">
        <is>
          <t>Financial Services</t>
        </is>
      </c>
      <c r="F109" s="45" t="n">
        <v>5717061120</v>
      </c>
      <c r="G109" s="44" t="inlineStr">
        <is>
          <t>nightly refresh</t>
        </is>
      </c>
      <c r="H109" s="43" t="n">
        <v>99</v>
      </c>
      <c r="I109" s="44" t="inlineStr">
        <is>
          <t>No</t>
        </is>
      </c>
      <c r="J109" s="44" t="inlineStr">
        <is>
          <t>1998-06-30</t>
        </is>
      </c>
      <c r="K109" s="43" t="n">
        <v>6780</v>
      </c>
      <c r="L109" s="44" t="inlineStr">
        <is>
          <t>2000-01-03</t>
        </is>
      </c>
      <c r="M109" s="44" t="inlineStr">
        <is>
          <t>2026-08-26</t>
        </is>
      </c>
      <c r="N109" s="43" t="n">
        <v>332</v>
      </c>
      <c r="O109" s="46" t="n">
        <v>-23.2492</v>
      </c>
      <c r="P109" s="46" t="n">
        <v>-71.94199999999999</v>
      </c>
      <c r="Q109" s="46" t="n">
        <v>35.3859</v>
      </c>
      <c r="R109" s="46" t="n">
        <v>-3.6885</v>
      </c>
      <c r="S109" s="47">
        <f>IF($I109="Yes",$O109,"")</f>
        <v/>
      </c>
    </row>
    <row r="110">
      <c r="A110" s="48" t="inlineStr">
        <is>
          <t>ANZ.AX</t>
        </is>
      </c>
      <c r="B110" s="49" t="inlineStr">
        <is>
          <t>ANZ Group Holdings Limited</t>
        </is>
      </c>
      <c r="C110" s="49" t="inlineStr">
        <is>
          <t>AU</t>
        </is>
      </c>
      <c r="D110" s="49" t="inlineStr">
        <is>
          <t>ASX 200</t>
        </is>
      </c>
      <c r="E110" s="49" t="inlineStr">
        <is>
          <t>Financial Services</t>
        </is>
      </c>
      <c r="F110" s="50" t="n">
        <v>109782163456</v>
      </c>
      <c r="G110" s="49" t="inlineStr">
        <is>
          <t>nightly refresh</t>
        </is>
      </c>
      <c r="H110" s="48" t="n">
        <v>7</v>
      </c>
      <c r="I110" s="49" t="inlineStr">
        <is>
          <t>Yes</t>
        </is>
      </c>
      <c r="J110" s="49" t="inlineStr">
        <is>
          <t>1988-01-29</t>
        </is>
      </c>
      <c r="K110" s="48" t="n">
        <v>6780</v>
      </c>
      <c r="L110" s="49" t="inlineStr">
        <is>
          <t>2000-01-03</t>
        </is>
      </c>
      <c r="M110" s="49" t="inlineStr">
        <is>
          <t>2026-08-26</t>
        </is>
      </c>
      <c r="N110" s="48" t="n">
        <v>306</v>
      </c>
      <c r="O110" s="51" t="n">
        <v>-15.4794</v>
      </c>
      <c r="P110" s="51" t="n">
        <v>-53.1484</v>
      </c>
      <c r="Q110" s="51" t="n">
        <v>31.9482</v>
      </c>
      <c r="R110" s="51" t="n">
        <v>-7.7979</v>
      </c>
      <c r="S110" s="52">
        <f>IF($I110="Yes",$O110,"")</f>
        <v/>
      </c>
    </row>
    <row r="111">
      <c r="A111" s="43" t="inlineStr">
        <is>
          <t>ASX.AX</t>
        </is>
      </c>
      <c r="B111" s="44" t="inlineStr">
        <is>
          <t>ASX Limited</t>
        </is>
      </c>
      <c r="C111" s="44" t="inlineStr">
        <is>
          <t>AU</t>
        </is>
      </c>
      <c r="D111" s="44" t="inlineStr">
        <is>
          <t>ASX 200</t>
        </is>
      </c>
      <c r="E111" s="44" t="inlineStr">
        <is>
          <t>Financial Services</t>
        </is>
      </c>
      <c r="F111" s="45" t="n">
        <v>10770991104</v>
      </c>
      <c r="G111" s="44" t="inlineStr">
        <is>
          <t>nightly refresh</t>
        </is>
      </c>
      <c r="H111" s="43" t="n">
        <v>59</v>
      </c>
      <c r="I111" s="44" t="inlineStr">
        <is>
          <t>Yes</t>
        </is>
      </c>
      <c r="J111" s="44" t="inlineStr">
        <is>
          <t>1998-10-30</t>
        </is>
      </c>
      <c r="K111" s="43" t="n">
        <v>6780</v>
      </c>
      <c r="L111" s="44" t="inlineStr">
        <is>
          <t>2000-01-03</t>
        </is>
      </c>
      <c r="M111" s="44" t="inlineStr">
        <is>
          <t>2026-08-26</t>
        </is>
      </c>
      <c r="N111" s="43" t="n">
        <v>320</v>
      </c>
      <c r="O111" s="46" t="n">
        <v>-15.9342</v>
      </c>
      <c r="P111" s="46" t="n">
        <v>-51.2361</v>
      </c>
      <c r="Q111" s="46" t="n">
        <v>32.8375</v>
      </c>
      <c r="R111" s="46" t="n">
        <v>-11.7984</v>
      </c>
      <c r="S111" s="47">
        <f>IF($I111="Yes",$O111,"")</f>
        <v/>
      </c>
    </row>
    <row r="112">
      <c r="A112" s="48" t="inlineStr">
        <is>
          <t>AUB.AX</t>
        </is>
      </c>
      <c r="B112" s="49" t="inlineStr">
        <is>
          <t>AUB Group Limited</t>
        </is>
      </c>
      <c r="C112" s="49" t="inlineStr">
        <is>
          <t>AU</t>
        </is>
      </c>
      <c r="D112" s="49" t="inlineStr">
        <is>
          <t>ASX 200</t>
        </is>
      </c>
      <c r="E112" s="49" t="inlineStr">
        <is>
          <t>Financial Services</t>
        </is>
      </c>
      <c r="F112" s="50" t="n">
        <v>3860427264</v>
      </c>
      <c r="G112" s="49" t="inlineStr">
        <is>
          <t>nightly refresh</t>
        </is>
      </c>
      <c r="H112" s="48" t="n">
        <v>124</v>
      </c>
      <c r="I112" s="49" t="inlineStr">
        <is>
          <t>No</t>
        </is>
      </c>
      <c r="J112" s="49" t="inlineStr">
        <is>
          <t>2005-11-15</t>
        </is>
      </c>
      <c r="K112" s="48" t="n">
        <v>5255</v>
      </c>
      <c r="L112" s="49" t="inlineStr">
        <is>
          <t>2005-11-15</t>
        </is>
      </c>
      <c r="M112" s="49" t="inlineStr">
        <is>
          <t>2026-08-26</t>
        </is>
      </c>
      <c r="N112" s="48" t="n">
        <v>249</v>
      </c>
      <c r="O112" s="51" t="n">
        <v>-14.8235</v>
      </c>
      <c r="P112" s="51" t="n">
        <v>-43.3013</v>
      </c>
      <c r="Q112" s="51" t="n">
        <v>38.2163</v>
      </c>
      <c r="R112" s="51" t="n">
        <v>-25.1216</v>
      </c>
      <c r="S112" s="52">
        <f>IF($I112="Yes",$O112,"")</f>
        <v/>
      </c>
    </row>
    <row r="113">
      <c r="A113" s="43" t="inlineStr">
        <is>
          <t>BEN.AX</t>
        </is>
      </c>
      <c r="B113" s="44" t="inlineStr">
        <is>
          <t>Bendigo and Adelaide Bank Limited</t>
        </is>
      </c>
      <c r="C113" s="44" t="inlineStr">
        <is>
          <t>AU</t>
        </is>
      </c>
      <c r="D113" s="44" t="inlineStr">
        <is>
          <t>ASX 200</t>
        </is>
      </c>
      <c r="E113" s="44" t="inlineStr">
        <is>
          <t>Financial Services</t>
        </is>
      </c>
      <c r="F113" s="45" t="n">
        <v>6036984320</v>
      </c>
      <c r="G113" s="44" t="inlineStr">
        <is>
          <t>nightly refresh</t>
        </is>
      </c>
      <c r="H113" s="43" t="n">
        <v>96</v>
      </c>
      <c r="I113" s="44" t="inlineStr">
        <is>
          <t>No</t>
        </is>
      </c>
      <c r="J113" s="44" t="inlineStr">
        <is>
          <t>1993-02-26</t>
        </is>
      </c>
      <c r="K113" s="43" t="n">
        <v>6780</v>
      </c>
      <c r="L113" s="44" t="inlineStr">
        <is>
          <t>2000-01-03</t>
        </is>
      </c>
      <c r="M113" s="44" t="inlineStr">
        <is>
          <t>2026-08-26</t>
        </is>
      </c>
      <c r="N113" s="43" t="n">
        <v>318</v>
      </c>
      <c r="O113" s="46" t="n">
        <v>-16.8864</v>
      </c>
      <c r="P113" s="46" t="n">
        <v>-56.4445</v>
      </c>
      <c r="Q113" s="46" t="n">
        <v>33.8233</v>
      </c>
      <c r="R113" s="46" t="n">
        <v>-18.6628</v>
      </c>
      <c r="S113" s="47">
        <f>IF($I113="Yes",$O113,"")</f>
        <v/>
      </c>
    </row>
    <row r="114">
      <c r="A114" s="48" t="inlineStr">
        <is>
          <t>BOQ.AX</t>
        </is>
      </c>
      <c r="B114" s="49" t="inlineStr">
        <is>
          <t>Bank of Queensland Limited</t>
        </is>
      </c>
      <c r="C114" s="49" t="inlineStr">
        <is>
          <t>AU</t>
        </is>
      </c>
      <c r="D114" s="49" t="inlineStr">
        <is>
          <t>ASX 200</t>
        </is>
      </c>
      <c r="E114" s="49" t="inlineStr">
        <is>
          <t>Financial Services</t>
        </is>
      </c>
      <c r="F114" s="50" t="n">
        <v>4164438784</v>
      </c>
      <c r="G114" s="49" t="inlineStr">
        <is>
          <t>nightly refresh</t>
        </is>
      </c>
      <c r="H114" s="48" t="n">
        <v>121</v>
      </c>
      <c r="I114" s="49" t="inlineStr">
        <is>
          <t>No</t>
        </is>
      </c>
      <c r="J114" s="49" t="inlineStr">
        <is>
          <t>1988-01-29</t>
        </is>
      </c>
      <c r="K114" s="48" t="n">
        <v>6780</v>
      </c>
      <c r="L114" s="49" t="inlineStr">
        <is>
          <t>2000-01-03</t>
        </is>
      </c>
      <c r="M114" s="49" t="inlineStr">
        <is>
          <t>2026-08-26</t>
        </is>
      </c>
      <c r="N114" s="48" t="n">
        <v>304</v>
      </c>
      <c r="O114" s="51" t="n">
        <v>-18.5326</v>
      </c>
      <c r="P114" s="51" t="n">
        <v>-61.9965</v>
      </c>
      <c r="Q114" s="51" t="n">
        <v>31.7803</v>
      </c>
      <c r="R114" s="51" t="n">
        <v>-11.9233</v>
      </c>
      <c r="S114" s="52">
        <f>IF($I114="Yes",$O114,"")</f>
        <v/>
      </c>
    </row>
    <row r="115">
      <c r="A115" s="43" t="inlineStr">
        <is>
          <t>CBA.AX</t>
        </is>
      </c>
      <c r="B115" s="44" t="inlineStr">
        <is>
          <t>Commonwealth Bank of Australia</t>
        </is>
      </c>
      <c r="C115" s="44" t="inlineStr">
        <is>
          <t>AU</t>
        </is>
      </c>
      <c r="D115" s="44" t="inlineStr">
        <is>
          <t>ASX 200</t>
        </is>
      </c>
      <c r="E115" s="44" t="inlineStr">
        <is>
          <t>Financial Services</t>
        </is>
      </c>
      <c r="F115" s="45" t="n">
        <v>259112304640</v>
      </c>
      <c r="G115" s="44" t="inlineStr">
        <is>
          <t>nightly refresh</t>
        </is>
      </c>
      <c r="H115" s="43" t="n">
        <v>3</v>
      </c>
      <c r="I115" s="44" t="inlineStr">
        <is>
          <t>Yes</t>
        </is>
      </c>
      <c r="J115" s="44" t="inlineStr">
        <is>
          <t>1991-09-30</t>
        </is>
      </c>
      <c r="K115" s="43" t="n">
        <v>6780</v>
      </c>
      <c r="L115" s="44" t="inlineStr">
        <is>
          <t>2000-01-03</t>
        </is>
      </c>
      <c r="M115" s="44" t="inlineStr">
        <is>
          <t>2026-08-26</t>
        </is>
      </c>
      <c r="N115" s="43" t="n">
        <v>261</v>
      </c>
      <c r="O115" s="46" t="n">
        <v>-14.2963</v>
      </c>
      <c r="P115" s="46" t="n">
        <v>-52.6937</v>
      </c>
      <c r="Q115" s="46" t="n">
        <v>52.7889</v>
      </c>
      <c r="R115" s="46" t="n">
        <v>-16.2347</v>
      </c>
      <c r="S115" s="47">
        <f>IF($I115="Yes",$O115,"")</f>
        <v/>
      </c>
    </row>
    <row r="116">
      <c r="A116" s="48" t="inlineStr">
        <is>
          <t>CGF.AX</t>
        </is>
      </c>
      <c r="B116" s="49" t="inlineStr">
        <is>
          <t>Challenger Limited</t>
        </is>
      </c>
      <c r="C116" s="49" t="inlineStr">
        <is>
          <t>AU</t>
        </is>
      </c>
      <c r="D116" s="49" t="inlineStr">
        <is>
          <t>ASX 200</t>
        </is>
      </c>
      <c r="E116" s="49" t="inlineStr">
        <is>
          <t>Financial Services</t>
        </is>
      </c>
      <c r="F116" s="50" t="n">
        <v>6536399360</v>
      </c>
      <c r="G116" s="49" t="inlineStr">
        <is>
          <t>nightly refresh</t>
        </is>
      </c>
      <c r="H116" s="48" t="n">
        <v>87</v>
      </c>
      <c r="I116" s="49" t="inlineStr">
        <is>
          <t>No</t>
        </is>
      </c>
      <c r="J116" s="49" t="inlineStr">
        <is>
          <t>1999-01-04</t>
        </is>
      </c>
      <c r="K116" s="48" t="n">
        <v>6780</v>
      </c>
      <c r="L116" s="49" t="inlineStr">
        <is>
          <t>2000-01-03</t>
        </is>
      </c>
      <c r="M116" s="49" t="inlineStr">
        <is>
          <t>2026-08-26</t>
        </is>
      </c>
      <c r="N116" s="48" t="n">
        <v>329</v>
      </c>
      <c r="O116" s="51" t="n">
        <v>-22.9991</v>
      </c>
      <c r="P116" s="51" t="n">
        <v>-83.5294</v>
      </c>
      <c r="Q116" s="51" t="n">
        <v>57.912</v>
      </c>
      <c r="R116" s="51" t="n">
        <v>-11.2442</v>
      </c>
      <c r="S116" s="52">
        <f>IF($I116="Yes",$O116,"")</f>
        <v/>
      </c>
    </row>
    <row r="117">
      <c r="A117" s="43" t="inlineStr">
        <is>
          <t>CPU.AX</t>
        </is>
      </c>
      <c r="B117" s="44" t="inlineStr">
        <is>
          <t>Computershare Limited</t>
        </is>
      </c>
      <c r="C117" s="44" t="inlineStr">
        <is>
          <t>AU</t>
        </is>
      </c>
      <c r="D117" s="44" t="inlineStr">
        <is>
          <t>ASX 200</t>
        </is>
      </c>
      <c r="E117" s="44" t="inlineStr">
        <is>
          <t>Financial Services</t>
        </is>
      </c>
      <c r="F117" s="45" t="n">
        <v>22574446592</v>
      </c>
      <c r="G117" s="44" t="inlineStr">
        <is>
          <t>nightly refresh</t>
        </is>
      </c>
      <c r="H117" s="43" t="n">
        <v>31</v>
      </c>
      <c r="I117" s="44" t="inlineStr">
        <is>
          <t>Yes</t>
        </is>
      </c>
      <c r="J117" s="44" t="inlineStr">
        <is>
          <t>1994-05-31</t>
        </is>
      </c>
      <c r="K117" s="43" t="n">
        <v>6780</v>
      </c>
      <c r="L117" s="44" t="inlineStr">
        <is>
          <t>2000-01-03</t>
        </is>
      </c>
      <c r="M117" s="44" t="inlineStr">
        <is>
          <t>2026-08-26</t>
        </is>
      </c>
      <c r="N117" s="43" t="n">
        <v>357</v>
      </c>
      <c r="O117" s="46" t="n">
        <v>-18.9677</v>
      </c>
      <c r="P117" s="46" t="n">
        <v>-76.2368</v>
      </c>
      <c r="Q117" s="46" t="n">
        <v>44.0956</v>
      </c>
      <c r="R117" s="46" t="n">
        <v>-9.067</v>
      </c>
      <c r="S117" s="47">
        <f>IF($I117="Yes",$O117,"")</f>
        <v/>
      </c>
    </row>
    <row r="118">
      <c r="A118" s="48" t="inlineStr">
        <is>
          <t>GDG.AX</t>
        </is>
      </c>
      <c r="B118" s="49" t="inlineStr">
        <is>
          <t>Generation Development Group Limited</t>
        </is>
      </c>
      <c r="C118" s="49" t="inlineStr">
        <is>
          <t>AU</t>
        </is>
      </c>
      <c r="D118" s="49" t="inlineStr">
        <is>
          <t>ASX 200</t>
        </is>
      </c>
      <c r="E118" s="49" t="inlineStr">
        <is>
          <t>Financial Services</t>
        </is>
      </c>
      <c r="F118" s="50" t="n">
        <v>1299731840</v>
      </c>
      <c r="G118" s="49" t="inlineStr">
        <is>
          <t>nightly refresh</t>
        </is>
      </c>
      <c r="H118" s="48" t="n">
        <v>190</v>
      </c>
      <c r="I118" s="49" t="inlineStr">
        <is>
          <t>No</t>
        </is>
      </c>
      <c r="J118" s="49" t="inlineStr">
        <is>
          <t>2007-12-07</t>
        </is>
      </c>
      <c r="K118" s="48" t="n">
        <v>4733</v>
      </c>
      <c r="L118" s="49" t="inlineStr">
        <is>
          <t>2007-12-07</t>
        </is>
      </c>
      <c r="M118" s="49" t="inlineStr">
        <is>
          <t>2026-08-26</t>
        </is>
      </c>
      <c r="N118" s="48" t="n">
        <v>127</v>
      </c>
      <c r="O118" s="51" t="n">
        <v>-29.5221</v>
      </c>
      <c r="P118" s="51" t="n">
        <v>-91.7256</v>
      </c>
      <c r="Q118" s="51" t="n">
        <v>81.0497</v>
      </c>
      <c r="R118" s="51" t="n">
        <v>-50.4626</v>
      </c>
      <c r="S118" s="52">
        <f>IF($I118="Yes",$O118,"")</f>
        <v/>
      </c>
    </row>
    <row r="119">
      <c r="A119" s="43" t="inlineStr">
        <is>
          <t>GQG.AX</t>
        </is>
      </c>
      <c r="B119" s="44" t="inlineStr">
        <is>
          <t>GQG Partners Inc.</t>
        </is>
      </c>
      <c r="C119" s="44" t="inlineStr">
        <is>
          <t>AU</t>
        </is>
      </c>
      <c r="D119" s="44" t="inlineStr">
        <is>
          <t>ASX 200</t>
        </is>
      </c>
      <c r="E119" s="44" t="inlineStr">
        <is>
          <t>Financial Services</t>
        </is>
      </c>
      <c r="F119" s="45" t="n">
        <v>3997518336</v>
      </c>
      <c r="G119" s="44" t="inlineStr">
        <is>
          <t>nightly refresh</t>
        </is>
      </c>
      <c r="H119" s="43" t="n">
        <v>123</v>
      </c>
      <c r="I119" s="44" t="inlineStr">
        <is>
          <t>No</t>
        </is>
      </c>
      <c r="J119" s="44" t="inlineStr">
        <is>
          <t>2021-10-26</t>
        </is>
      </c>
      <c r="K119" s="43" t="n">
        <v>1222</v>
      </c>
      <c r="L119" s="44" t="inlineStr">
        <is>
          <t>2021-10-26</t>
        </is>
      </c>
      <c r="M119" s="44" t="inlineStr">
        <is>
          <t>2026-08-26</t>
        </is>
      </c>
      <c r="N119" s="43" t="n">
        <v>62</v>
      </c>
      <c r="O119" s="46" t="n">
        <v>-23.7007</v>
      </c>
      <c r="P119" s="46" t="n">
        <v>-45.4506</v>
      </c>
      <c r="Q119" s="46" t="n">
        <v>49.5802</v>
      </c>
      <c r="R119" s="46" t="n">
        <v>-27.2785</v>
      </c>
      <c r="S119" s="47">
        <f>IF($I119="Yes",$O119,"")</f>
        <v/>
      </c>
    </row>
    <row r="120">
      <c r="A120" s="48" t="inlineStr">
        <is>
          <t>HLI.AX</t>
        </is>
      </c>
      <c r="B120" s="49" t="inlineStr">
        <is>
          <t>Helia Group Limited</t>
        </is>
      </c>
      <c r="C120" s="49" t="inlineStr">
        <is>
          <t>AU</t>
        </is>
      </c>
      <c r="D120" s="49" t="inlineStr">
        <is>
          <t>ASX 200</t>
        </is>
      </c>
      <c r="E120" s="49" t="inlineStr">
        <is>
          <t>Financial Services</t>
        </is>
      </c>
      <c r="F120" s="50" t="n">
        <v>1394660096</v>
      </c>
      <c r="G120" s="49" t="inlineStr">
        <is>
          <t>nightly refresh</t>
        </is>
      </c>
      <c r="H120" s="48" t="n">
        <v>188</v>
      </c>
      <c r="I120" s="49" t="inlineStr">
        <is>
          <t>No</t>
        </is>
      </c>
      <c r="J120" s="49" t="inlineStr">
        <is>
          <t>2014-05-20</t>
        </is>
      </c>
      <c r="K120" s="48" t="n">
        <v>3109</v>
      </c>
      <c r="L120" s="49" t="inlineStr">
        <is>
          <t>2014-05-20</t>
        </is>
      </c>
      <c r="M120" s="49" t="inlineStr">
        <is>
          <t>2026-08-26</t>
        </is>
      </c>
      <c r="N120" s="48" t="n">
        <v>139</v>
      </c>
      <c r="O120" s="51" t="n">
        <v>-21.0367</v>
      </c>
      <c r="P120" s="51" t="n">
        <v>-66.98569999999999</v>
      </c>
      <c r="Q120" s="51" t="n">
        <v>52.9476</v>
      </c>
      <c r="R120" s="51" t="n">
        <v>-12.6378</v>
      </c>
      <c r="S120" s="52">
        <f>IF($I120="Yes",$O120,"")</f>
        <v/>
      </c>
    </row>
    <row r="121">
      <c r="A121" s="43" t="inlineStr">
        <is>
          <t>HUB.AX</t>
        </is>
      </c>
      <c r="B121" s="44" t="inlineStr">
        <is>
          <t>HUB24 Limited</t>
        </is>
      </c>
      <c r="C121" s="44" t="inlineStr">
        <is>
          <t>AU</t>
        </is>
      </c>
      <c r="D121" s="44" t="inlineStr">
        <is>
          <t>ASX 200</t>
        </is>
      </c>
      <c r="E121" s="44" t="inlineStr">
        <is>
          <t>Financial Services</t>
        </is>
      </c>
      <c r="F121" s="45" t="n">
        <v>6218895872</v>
      </c>
      <c r="G121" s="44" t="inlineStr">
        <is>
          <t>nightly refresh</t>
        </is>
      </c>
      <c r="H121" s="43" t="n">
        <v>94</v>
      </c>
      <c r="I121" s="44" t="inlineStr">
        <is>
          <t>No</t>
        </is>
      </c>
      <c r="J121" s="44" t="inlineStr">
        <is>
          <t>2007-07-05</t>
        </is>
      </c>
      <c r="K121" s="43" t="n">
        <v>4844</v>
      </c>
      <c r="L121" s="44" t="inlineStr">
        <is>
          <t>2007-07-05</t>
        </is>
      </c>
      <c r="M121" s="44" t="inlineStr">
        <is>
          <t>2026-08-26</t>
        </is>
      </c>
      <c r="N121" s="43" t="n">
        <v>201</v>
      </c>
      <c r="O121" s="46" t="n">
        <v>-26.2045</v>
      </c>
      <c r="P121" s="46" t="n">
        <v>-87.80549999999999</v>
      </c>
      <c r="Q121" s="46" t="n">
        <v>103.6976</v>
      </c>
      <c r="R121" s="46" t="n">
        <v>-35.7915</v>
      </c>
      <c r="S121" s="47">
        <f>IF($I121="Yes",$O121,"")</f>
        <v/>
      </c>
    </row>
    <row r="122">
      <c r="A122" s="48" t="inlineStr">
        <is>
          <t>IAG.AX</t>
        </is>
      </c>
      <c r="B122" s="49" t="inlineStr">
        <is>
          <t>Insurance Australia Group Limited</t>
        </is>
      </c>
      <c r="C122" s="49" t="inlineStr">
        <is>
          <t>AU</t>
        </is>
      </c>
      <c r="D122" s="49" t="inlineStr">
        <is>
          <t>ASX 200</t>
        </is>
      </c>
      <c r="E122" s="49" t="inlineStr">
        <is>
          <t>Financial Services</t>
        </is>
      </c>
      <c r="F122" s="50" t="n">
        <v>18352930816</v>
      </c>
      <c r="G122" s="49" t="inlineStr">
        <is>
          <t>nightly refresh</t>
        </is>
      </c>
      <c r="H122" s="48" t="n">
        <v>38</v>
      </c>
      <c r="I122" s="49" t="inlineStr">
        <is>
          <t>Yes</t>
        </is>
      </c>
      <c r="J122" s="49" t="inlineStr">
        <is>
          <t>2000-08-07</t>
        </is>
      </c>
      <c r="K122" s="48" t="n">
        <v>6625</v>
      </c>
      <c r="L122" s="49" t="inlineStr">
        <is>
          <t>2000-08-07</t>
        </is>
      </c>
      <c r="M122" s="49" t="inlineStr">
        <is>
          <t>2026-08-26</t>
        </is>
      </c>
      <c r="N122" s="48" t="n">
        <v>292</v>
      </c>
      <c r="O122" s="51" t="n">
        <v>-15.9562</v>
      </c>
      <c r="P122" s="51" t="n">
        <v>-45.5867</v>
      </c>
      <c r="Q122" s="51" t="n">
        <v>31.3613</v>
      </c>
      <c r="R122" s="51" t="n">
        <v>-10.5552</v>
      </c>
      <c r="S122" s="52">
        <f>IF($I122="Yes",$O122,"")</f>
        <v/>
      </c>
    </row>
    <row r="123">
      <c r="A123" s="43" t="inlineStr">
        <is>
          <t>JDO.AX</t>
        </is>
      </c>
      <c r="B123" s="44" t="inlineStr">
        <is>
          <t>Judo Capital Holdings Limited</t>
        </is>
      </c>
      <c r="C123" s="44" t="inlineStr">
        <is>
          <t>AU</t>
        </is>
      </c>
      <c r="D123" s="44" t="inlineStr">
        <is>
          <t>ASX 200</t>
        </is>
      </c>
      <c r="E123" s="44" t="inlineStr">
        <is>
          <t>Financial Services</t>
        </is>
      </c>
      <c r="F123" s="45" t="n">
        <v>1139188992</v>
      </c>
      <c r="G123" s="44" t="inlineStr">
        <is>
          <t>nightly refresh</t>
        </is>
      </c>
      <c r="H123" s="43" t="n">
        <v>197</v>
      </c>
      <c r="I123" s="44" t="inlineStr">
        <is>
          <t>No</t>
        </is>
      </c>
      <c r="J123" s="44" t="inlineStr">
        <is>
          <t>2021-11-01</t>
        </is>
      </c>
      <c r="K123" s="43" t="n">
        <v>1218</v>
      </c>
      <c r="L123" s="44" t="inlineStr">
        <is>
          <t>2021-11-01</t>
        </is>
      </c>
      <c r="M123" s="44" t="inlineStr">
        <is>
          <t>2026-08-26</t>
        </is>
      </c>
      <c r="N123" s="43" t="n">
        <v>57</v>
      </c>
      <c r="O123" s="46" t="n">
        <v>-32.0554</v>
      </c>
      <c r="P123" s="46" t="n">
        <v>-58.4314</v>
      </c>
      <c r="Q123" s="46" t="n">
        <v>40.515</v>
      </c>
      <c r="R123" s="46" t="n">
        <v>-50</v>
      </c>
      <c r="S123" s="47">
        <f>IF($I123="Yes",$O123,"")</f>
        <v/>
      </c>
    </row>
    <row r="124">
      <c r="A124" s="48" t="inlineStr">
        <is>
          <t>MFG.AX</t>
        </is>
      </c>
      <c r="B124" s="49" t="inlineStr">
        <is>
          <t>Magellan Financial Group Limited</t>
        </is>
      </c>
      <c r="C124" s="49" t="inlineStr">
        <is>
          <t>AU</t>
        </is>
      </c>
      <c r="D124" s="49" t="inlineStr">
        <is>
          <t>ASX 200</t>
        </is>
      </c>
      <c r="E124" s="49" t="inlineStr">
        <is>
          <t>Financial Services</t>
        </is>
      </c>
      <c r="F124" s="50" t="n">
        <v>2779774976</v>
      </c>
      <c r="G124" s="49" t="inlineStr">
        <is>
          <t>nightly refresh</t>
        </is>
      </c>
      <c r="H124" s="48" t="n">
        <v>141</v>
      </c>
      <c r="I124" s="49" t="inlineStr">
        <is>
          <t>No</t>
        </is>
      </c>
      <c r="J124" s="49" t="inlineStr">
        <is>
          <t>2004-06-30</t>
        </is>
      </c>
      <c r="K124" s="48" t="n">
        <v>5608</v>
      </c>
      <c r="L124" s="49" t="inlineStr">
        <is>
          <t>2004-06-30</t>
        </is>
      </c>
      <c r="M124" s="49" t="inlineStr">
        <is>
          <t>2026-08-26</t>
        </is>
      </c>
      <c r="N124" s="48" t="n">
        <v>266</v>
      </c>
      <c r="O124" s="51" t="n">
        <v>-25.455</v>
      </c>
      <c r="P124" s="51" t="n">
        <v>-78.86790000000001</v>
      </c>
      <c r="Q124" s="51" t="n">
        <v>81.251</v>
      </c>
      <c r="R124" s="51" t="n">
        <v>-4.329</v>
      </c>
      <c r="S124" s="52">
        <f>IF($I124="Yes",$O124,"")</f>
        <v/>
      </c>
    </row>
    <row r="125">
      <c r="A125" s="43" t="inlineStr">
        <is>
          <t>MPL.AX</t>
        </is>
      </c>
      <c r="B125" s="44" t="inlineStr">
        <is>
          <t>Medibank Private Limited</t>
        </is>
      </c>
      <c r="C125" s="44" t="inlineStr">
        <is>
          <t>AU</t>
        </is>
      </c>
      <c r="D125" s="44" t="inlineStr">
        <is>
          <t>ASX 200</t>
        </is>
      </c>
      <c r="E125" s="44" t="inlineStr">
        <is>
          <t>Financial Services</t>
        </is>
      </c>
      <c r="F125" s="45" t="n">
        <v>13026435072</v>
      </c>
      <c r="G125" s="44" t="inlineStr">
        <is>
          <t>nightly refresh</t>
        </is>
      </c>
      <c r="H125" s="43" t="n">
        <v>49</v>
      </c>
      <c r="I125" s="44" t="inlineStr">
        <is>
          <t>Yes</t>
        </is>
      </c>
      <c r="J125" s="44" t="inlineStr">
        <is>
          <t>2014-11-25</t>
        </is>
      </c>
      <c r="K125" s="43" t="n">
        <v>2975</v>
      </c>
      <c r="L125" s="44" t="inlineStr">
        <is>
          <t>2014-11-25</t>
        </is>
      </c>
      <c r="M125" s="44" t="inlineStr">
        <is>
          <t>2026-08-26</t>
        </is>
      </c>
      <c r="N125" s="43" t="n">
        <v>125</v>
      </c>
      <c r="O125" s="46" t="n">
        <v>-13.0344</v>
      </c>
      <c r="P125" s="46" t="n">
        <v>-26.9407</v>
      </c>
      <c r="Q125" s="46" t="n">
        <v>29.6448</v>
      </c>
      <c r="R125" s="46" t="n">
        <v>-9.7928</v>
      </c>
      <c r="S125" s="47">
        <f>IF($I125="Yes",$O125,"")</f>
        <v/>
      </c>
    </row>
    <row r="126">
      <c r="A126" s="48" t="inlineStr">
        <is>
          <t>MQG.AX</t>
        </is>
      </c>
      <c r="B126" s="49" t="inlineStr">
        <is>
          <t>Macquarie Group Limited</t>
        </is>
      </c>
      <c r="C126" s="49" t="inlineStr">
        <is>
          <t>AU</t>
        </is>
      </c>
      <c r="D126" s="49" t="inlineStr">
        <is>
          <t>ASX 200</t>
        </is>
      </c>
      <c r="E126" s="49" t="inlineStr">
        <is>
          <t>Financial Services</t>
        </is>
      </c>
      <c r="F126" s="50" t="n">
        <v>95642869760</v>
      </c>
      <c r="G126" s="49" t="inlineStr">
        <is>
          <t>nightly refresh</t>
        </is>
      </c>
      <c r="H126" s="48" t="n">
        <v>8</v>
      </c>
      <c r="I126" s="49" t="inlineStr">
        <is>
          <t>Yes</t>
        </is>
      </c>
      <c r="J126" s="49" t="inlineStr">
        <is>
          <t>1996-07-31</t>
        </is>
      </c>
      <c r="K126" s="48" t="n">
        <v>6780</v>
      </c>
      <c r="L126" s="49" t="inlineStr">
        <is>
          <t>2000-01-03</t>
        </is>
      </c>
      <c r="M126" s="49" t="inlineStr">
        <is>
          <t>2026-08-26</t>
        </is>
      </c>
      <c r="N126" s="48" t="n">
        <v>321</v>
      </c>
      <c r="O126" s="51" t="n">
        <v>-19.0346</v>
      </c>
      <c r="P126" s="51" t="n">
        <v>-74.17359999999999</v>
      </c>
      <c r="Q126" s="51" t="n">
        <v>51.4913</v>
      </c>
      <c r="R126" s="51" t="n">
        <v>-5.6494</v>
      </c>
      <c r="S126" s="52">
        <f>IF($I126="Yes",$O126,"")</f>
        <v/>
      </c>
    </row>
    <row r="127">
      <c r="A127" s="43" t="inlineStr">
        <is>
          <t>NAB.AX</t>
        </is>
      </c>
      <c r="B127" s="44" t="inlineStr">
        <is>
          <t>National Australia Bank Limited</t>
        </is>
      </c>
      <c r="C127" s="44" t="inlineStr">
        <is>
          <t>AU</t>
        </is>
      </c>
      <c r="D127" s="44" t="inlineStr">
        <is>
          <t>ASX 200</t>
        </is>
      </c>
      <c r="E127" s="44" t="inlineStr">
        <is>
          <t>Financial Services</t>
        </is>
      </c>
      <c r="F127" s="45" t="n">
        <v>116269506560</v>
      </c>
      <c r="G127" s="44" t="inlineStr">
        <is>
          <t>nightly refresh</t>
        </is>
      </c>
      <c r="H127" s="43" t="n">
        <v>5</v>
      </c>
      <c r="I127" s="44" t="inlineStr">
        <is>
          <t>Yes</t>
        </is>
      </c>
      <c r="J127" s="44" t="inlineStr">
        <is>
          <t>1988-01-29</t>
        </is>
      </c>
      <c r="K127" s="43" t="n">
        <v>6780</v>
      </c>
      <c r="L127" s="44" t="inlineStr">
        <is>
          <t>2000-01-03</t>
        </is>
      </c>
      <c r="M127" s="44" t="inlineStr">
        <is>
          <t>2026-08-26</t>
        </is>
      </c>
      <c r="N127" s="43" t="n">
        <v>308</v>
      </c>
      <c r="O127" s="46" t="n">
        <v>-15.5507</v>
      </c>
      <c r="P127" s="46" t="n">
        <v>-53.8568</v>
      </c>
      <c r="Q127" s="46" t="n">
        <v>31.7025</v>
      </c>
      <c r="R127" s="46" t="n">
        <v>-20.9504</v>
      </c>
      <c r="S127" s="47">
        <f>IF($I127="Yes",$O127,"")</f>
        <v/>
      </c>
    </row>
    <row r="128">
      <c r="A128" s="48" t="inlineStr">
        <is>
          <t>NHF.AX</t>
        </is>
      </c>
      <c r="B128" s="49" t="inlineStr">
        <is>
          <t>nib holdings limited</t>
        </is>
      </c>
      <c r="C128" s="49" t="inlineStr">
        <is>
          <t>AU</t>
        </is>
      </c>
      <c r="D128" s="49" t="inlineStr">
        <is>
          <t>ASX 200</t>
        </is>
      </c>
      <c r="E128" s="49" t="inlineStr">
        <is>
          <t>Financial Services</t>
        </is>
      </c>
      <c r="F128" s="50" t="n">
        <v>3285494016</v>
      </c>
      <c r="G128" s="49" t="inlineStr">
        <is>
          <t>nightly refresh</t>
        </is>
      </c>
      <c r="H128" s="48" t="n">
        <v>129</v>
      </c>
      <c r="I128" s="49" t="inlineStr">
        <is>
          <t>No</t>
        </is>
      </c>
      <c r="J128" s="49" t="inlineStr">
        <is>
          <t>2007-11-05</t>
        </is>
      </c>
      <c r="K128" s="48" t="n">
        <v>4757</v>
      </c>
      <c r="L128" s="49" t="inlineStr">
        <is>
          <t>2007-11-05</t>
        </is>
      </c>
      <c r="M128" s="49" t="inlineStr">
        <is>
          <t>2026-08-26</t>
        </is>
      </c>
      <c r="N128" s="48" t="n">
        <v>221</v>
      </c>
      <c r="O128" s="51" t="n">
        <v>-16.8312</v>
      </c>
      <c r="P128" s="51" t="n">
        <v>-59.6429</v>
      </c>
      <c r="Q128" s="51" t="n">
        <v>45.0741</v>
      </c>
      <c r="R128" s="51" t="n">
        <v>-11.3842</v>
      </c>
      <c r="S128" s="52">
        <f>IF($I128="Yes",$O128,"")</f>
        <v/>
      </c>
    </row>
    <row r="129">
      <c r="A129" s="43" t="inlineStr">
        <is>
          <t>PNI.AX</t>
        </is>
      </c>
      <c r="B129" s="44" t="inlineStr">
        <is>
          <t>Pinnacle Investment Management Group Limited</t>
        </is>
      </c>
      <c r="C129" s="44" t="inlineStr">
        <is>
          <t>AU</t>
        </is>
      </c>
      <c r="D129" s="44" t="inlineStr">
        <is>
          <t>ASX 200</t>
        </is>
      </c>
      <c r="E129" s="44" t="inlineStr">
        <is>
          <t>Financial Services</t>
        </is>
      </c>
      <c r="F129" s="45" t="n">
        <v>4224029184</v>
      </c>
      <c r="G129" s="44" t="inlineStr">
        <is>
          <t>nightly refresh</t>
        </is>
      </c>
      <c r="H129" s="43" t="n">
        <v>120</v>
      </c>
      <c r="I129" s="44" t="inlineStr">
        <is>
          <t>No</t>
        </is>
      </c>
      <c r="J129" s="44" t="inlineStr">
        <is>
          <t>2007-06-19</t>
        </is>
      </c>
      <c r="K129" s="43" t="n">
        <v>4856</v>
      </c>
      <c r="L129" s="44" t="inlineStr">
        <is>
          <t>2007-06-19</t>
        </is>
      </c>
      <c r="M129" s="44" t="inlineStr">
        <is>
          <t>2026-08-26</t>
        </is>
      </c>
      <c r="N129" s="43" t="n">
        <v>180</v>
      </c>
      <c r="O129" s="46" t="n">
        <v>-29.9838</v>
      </c>
      <c r="P129" s="46" t="n">
        <v>-76.90000000000001</v>
      </c>
      <c r="Q129" s="46" t="n">
        <v>95.9025</v>
      </c>
      <c r="R129" s="46" t="n">
        <v>-15.134</v>
      </c>
      <c r="S129" s="47">
        <f>IF($I129="Yes",$O129,"")</f>
        <v/>
      </c>
    </row>
    <row r="130">
      <c r="A130" s="48" t="inlineStr">
        <is>
          <t>PPT.AX</t>
        </is>
      </c>
      <c r="B130" s="49" t="inlineStr">
        <is>
          <t>Perpetual Limited</t>
        </is>
      </c>
      <c r="C130" s="49" t="inlineStr">
        <is>
          <t>AU</t>
        </is>
      </c>
      <c r="D130" s="49" t="inlineStr">
        <is>
          <t>ASX 200</t>
        </is>
      </c>
      <c r="E130" s="49" t="inlineStr">
        <is>
          <t>Financial Services</t>
        </is>
      </c>
      <c r="F130" s="50" t="n">
        <v>2340433408</v>
      </c>
      <c r="G130" s="49" t="inlineStr">
        <is>
          <t>nightly refresh</t>
        </is>
      </c>
      <c r="H130" s="48" t="n">
        <v>154</v>
      </c>
      <c r="I130" s="49" t="inlineStr">
        <is>
          <t>No</t>
        </is>
      </c>
      <c r="J130" s="49" t="inlineStr">
        <is>
          <t>1989-11-30</t>
        </is>
      </c>
      <c r="K130" s="48" t="n">
        <v>6780</v>
      </c>
      <c r="L130" s="49" t="inlineStr">
        <is>
          <t>2000-01-03</t>
        </is>
      </c>
      <c r="M130" s="49" t="inlineStr">
        <is>
          <t>2026-08-26</t>
        </is>
      </c>
      <c r="N130" s="48" t="n">
        <v>339</v>
      </c>
      <c r="O130" s="51" t="n">
        <v>-21.5529</v>
      </c>
      <c r="P130" s="51" t="n">
        <v>-62.7281</v>
      </c>
      <c r="Q130" s="51" t="n">
        <v>40.1322</v>
      </c>
      <c r="R130" s="51" t="n">
        <v>-5.5396</v>
      </c>
      <c r="S130" s="52">
        <f>IF($I130="Yes",$O130,"")</f>
        <v/>
      </c>
    </row>
    <row r="131">
      <c r="A131" s="43" t="inlineStr">
        <is>
          <t>QBE.AX</t>
        </is>
      </c>
      <c r="B131" s="44" t="inlineStr">
        <is>
          <t>QBE Insurance Group Limited</t>
        </is>
      </c>
      <c r="C131" s="44" t="inlineStr">
        <is>
          <t>AU</t>
        </is>
      </c>
      <c r="D131" s="44" t="inlineStr">
        <is>
          <t>ASX 200</t>
        </is>
      </c>
      <c r="E131" s="44" t="inlineStr">
        <is>
          <t>Financial Services</t>
        </is>
      </c>
      <c r="F131" s="45" t="n">
        <v>32763957248</v>
      </c>
      <c r="G131" s="44" t="inlineStr">
        <is>
          <t>nightly refresh</t>
        </is>
      </c>
      <c r="H131" s="43" t="n">
        <v>21</v>
      </c>
      <c r="I131" s="44" t="inlineStr">
        <is>
          <t>Yes</t>
        </is>
      </c>
      <c r="J131" s="44" t="inlineStr">
        <is>
          <t>1988-01-29</t>
        </is>
      </c>
      <c r="K131" s="43" t="n">
        <v>6780</v>
      </c>
      <c r="L131" s="44" t="inlineStr">
        <is>
          <t>2000-01-03</t>
        </is>
      </c>
      <c r="M131" s="44" t="inlineStr">
        <is>
          <t>2026-08-26</t>
        </is>
      </c>
      <c r="N131" s="43" t="n">
        <v>334</v>
      </c>
      <c r="O131" s="46" t="n">
        <v>-18.4918</v>
      </c>
      <c r="P131" s="46" t="n">
        <v>-71.6461</v>
      </c>
      <c r="Q131" s="46" t="n">
        <v>41.4111</v>
      </c>
      <c r="R131" s="46" t="n">
        <v>-15.602</v>
      </c>
      <c r="S131" s="47">
        <f>IF($I131="Yes",$O131,"")</f>
        <v/>
      </c>
    </row>
    <row r="132">
      <c r="A132" s="48" t="inlineStr">
        <is>
          <t>SDF.AX</t>
        </is>
      </c>
      <c r="B132" s="49" t="inlineStr">
        <is>
          <t>Steadfast Group Limited</t>
        </is>
      </c>
      <c r="C132" s="49" t="inlineStr">
        <is>
          <t>AU</t>
        </is>
      </c>
      <c r="D132" s="49" t="inlineStr">
        <is>
          <t>ASX 200</t>
        </is>
      </c>
      <c r="E132" s="49" t="inlineStr">
        <is>
          <t>Financial Services</t>
        </is>
      </c>
      <c r="F132" s="50" t="n">
        <v>6494031360</v>
      </c>
      <c r="G132" s="49" t="inlineStr">
        <is>
          <t>nightly refresh</t>
        </is>
      </c>
      <c r="H132" s="48" t="n">
        <v>88</v>
      </c>
      <c r="I132" s="49" t="inlineStr">
        <is>
          <t>No</t>
        </is>
      </c>
      <c r="J132" s="49" t="inlineStr">
        <is>
          <t>2013-08-02</t>
        </is>
      </c>
      <c r="K132" s="48" t="n">
        <v>3309</v>
      </c>
      <c r="L132" s="49" t="inlineStr">
        <is>
          <t>2013-08-02</t>
        </is>
      </c>
      <c r="M132" s="49" t="inlineStr">
        <is>
          <t>2026-08-26</t>
        </is>
      </c>
      <c r="N132" s="48" t="n">
        <v>143</v>
      </c>
      <c r="O132" s="51" t="n">
        <v>-13.8537</v>
      </c>
      <c r="P132" s="51" t="n">
        <v>-40.2213</v>
      </c>
      <c r="Q132" s="51" t="n">
        <v>34.9957</v>
      </c>
      <c r="R132" s="51" t="n">
        <v>-10.867</v>
      </c>
      <c r="S132" s="52">
        <f>IF($I132="Yes",$O132,"")</f>
        <v/>
      </c>
    </row>
    <row r="133">
      <c r="A133" s="43" t="inlineStr">
        <is>
          <t>SOL.AX</t>
        </is>
      </c>
      <c r="B133" s="44" t="inlineStr">
        <is>
          <t>WHSP Holdings Limited</t>
        </is>
      </c>
      <c r="C133" s="44" t="inlineStr">
        <is>
          <t>AU</t>
        </is>
      </c>
      <c r="D133" s="44" t="inlineStr">
        <is>
          <t>ASX 200</t>
        </is>
      </c>
      <c r="E133" s="44" t="inlineStr">
        <is>
          <t>Financial Services</t>
        </is>
      </c>
      <c r="F133" s="45" t="n">
        <v>16625284096</v>
      </c>
      <c r="G133" s="44" t="inlineStr">
        <is>
          <t>nightly refresh</t>
        </is>
      </c>
      <c r="H133" s="43" t="n">
        <v>40</v>
      </c>
      <c r="I133" s="44" t="inlineStr">
        <is>
          <t>Yes</t>
        </is>
      </c>
      <c r="J133" s="44" t="inlineStr">
        <is>
          <t>1988-01-29</t>
        </is>
      </c>
      <c r="K133" s="43" t="n">
        <v>6780</v>
      </c>
      <c r="L133" s="44" t="inlineStr">
        <is>
          <t>2000-01-03</t>
        </is>
      </c>
      <c r="M133" s="44" t="inlineStr">
        <is>
          <t>2026-08-26</t>
        </is>
      </c>
      <c r="N133" s="43" t="n">
        <v>283</v>
      </c>
      <c r="O133" s="46" t="n">
        <v>-14.7789</v>
      </c>
      <c r="P133" s="46" t="n">
        <v>-40.4617</v>
      </c>
      <c r="Q133" s="46" t="n">
        <v>32.3772</v>
      </c>
      <c r="R133" s="46" t="n">
        <v>-6.0433</v>
      </c>
      <c r="S133" s="47">
        <f>IF($I133="Yes",$O133,"")</f>
        <v/>
      </c>
    </row>
    <row r="134">
      <c r="A134" s="48" t="inlineStr">
        <is>
          <t>SUN.AX</t>
        </is>
      </c>
      <c r="B134" s="49" t="inlineStr">
        <is>
          <t>Suncorp Group Limited</t>
        </is>
      </c>
      <c r="C134" s="49" t="inlineStr">
        <is>
          <t>AU</t>
        </is>
      </c>
      <c r="D134" s="49" t="inlineStr">
        <is>
          <t>ASX 200</t>
        </is>
      </c>
      <c r="E134" s="49" t="inlineStr">
        <is>
          <t>Financial Services</t>
        </is>
      </c>
      <c r="F134" s="50" t="n">
        <v>19981969408</v>
      </c>
      <c r="G134" s="49" t="inlineStr">
        <is>
          <t>nightly refresh</t>
        </is>
      </c>
      <c r="H134" s="48" t="n">
        <v>35</v>
      </c>
      <c r="I134" s="49" t="inlineStr">
        <is>
          <t>Yes</t>
        </is>
      </c>
      <c r="J134" s="49" t="inlineStr">
        <is>
          <t>1988-07-29</t>
        </is>
      </c>
      <c r="K134" s="48" t="n">
        <v>6780</v>
      </c>
      <c r="L134" s="49" t="inlineStr">
        <is>
          <t>2000-01-03</t>
        </is>
      </c>
      <c r="M134" s="49" t="inlineStr">
        <is>
          <t>2026-08-26</t>
        </is>
      </c>
      <c r="N134" s="48" t="n">
        <v>313</v>
      </c>
      <c r="O134" s="51" t="n">
        <v>-17.2404</v>
      </c>
      <c r="P134" s="51" t="n">
        <v>-73.06780000000001</v>
      </c>
      <c r="Q134" s="51" t="n">
        <v>34.6617</v>
      </c>
      <c r="R134" s="51" t="n">
        <v>-9.4834</v>
      </c>
      <c r="S134" s="52">
        <f>IF($I134="Yes",$O134,"")</f>
        <v/>
      </c>
    </row>
    <row r="135">
      <c r="A135" s="43" t="inlineStr">
        <is>
          <t>WBC.AX</t>
        </is>
      </c>
      <c r="B135" s="44" t="inlineStr">
        <is>
          <t>Westpac Banking Corporation</t>
        </is>
      </c>
      <c r="C135" s="44" t="inlineStr">
        <is>
          <t>AU</t>
        </is>
      </c>
      <c r="D135" s="44" t="inlineStr">
        <is>
          <t>ASX 200</t>
        </is>
      </c>
      <c r="E135" s="44" t="inlineStr">
        <is>
          <t>Financial Services</t>
        </is>
      </c>
      <c r="F135" s="45" t="n">
        <v>115014082560</v>
      </c>
      <c r="G135" s="44" t="inlineStr">
        <is>
          <t>nightly refresh</t>
        </is>
      </c>
      <c r="H135" s="43" t="n">
        <v>6</v>
      </c>
      <c r="I135" s="44" t="inlineStr">
        <is>
          <t>Yes</t>
        </is>
      </c>
      <c r="J135" s="44" t="inlineStr">
        <is>
          <t>1988-01-29</t>
        </is>
      </c>
      <c r="K135" s="43" t="n">
        <v>6780</v>
      </c>
      <c r="L135" s="44" t="inlineStr">
        <is>
          <t>2000-01-03</t>
        </is>
      </c>
      <c r="M135" s="44" t="inlineStr">
        <is>
          <t>2026-08-26</t>
        </is>
      </c>
      <c r="N135" s="43" t="n">
        <v>299</v>
      </c>
      <c r="O135" s="46" t="n">
        <v>-14.8463</v>
      </c>
      <c r="P135" s="46" t="n">
        <v>-51.6869</v>
      </c>
      <c r="Q135" s="46" t="n">
        <v>30.4677</v>
      </c>
      <c r="R135" s="46" t="n">
        <v>-20.3477</v>
      </c>
      <c r="S135" s="47">
        <f>IF($I135="Yes",$O135,"")</f>
        <v/>
      </c>
    </row>
    <row r="136">
      <c r="A136" s="48" t="inlineStr">
        <is>
          <t>ZIP.AX</t>
        </is>
      </c>
      <c r="B136" s="49" t="inlineStr">
        <is>
          <t>Zip Co Limited</t>
        </is>
      </c>
      <c r="C136" s="49" t="inlineStr">
        <is>
          <t>AU</t>
        </is>
      </c>
      <c r="D136" s="49" t="inlineStr">
        <is>
          <t>ASX 200</t>
        </is>
      </c>
      <c r="E136" s="49" t="inlineStr">
        <is>
          <t>Financial Services</t>
        </is>
      </c>
      <c r="F136" s="50" t="n">
        <v>3189559808</v>
      </c>
      <c r="G136" s="49" t="inlineStr">
        <is>
          <t>nightly refresh</t>
        </is>
      </c>
      <c r="H136" s="48" t="n">
        <v>132</v>
      </c>
      <c r="I136" s="49" t="inlineStr">
        <is>
          <t>No</t>
        </is>
      </c>
      <c r="J136" s="49" t="inlineStr">
        <is>
          <t>2009-12-09</t>
        </is>
      </c>
      <c r="K136" s="48" t="n">
        <v>4225</v>
      </c>
      <c r="L136" s="49" t="inlineStr">
        <is>
          <t>2009-12-09</t>
        </is>
      </c>
      <c r="M136" s="49" t="inlineStr">
        <is>
          <t>2026-08-26</t>
        </is>
      </c>
      <c r="N136" s="48" t="n">
        <v>145</v>
      </c>
      <c r="O136" s="51" t="n">
        <v>-41.3169</v>
      </c>
      <c r="P136" s="51" t="n">
        <v>-91.7704</v>
      </c>
      <c r="Q136" s="51" t="n">
        <v>216.2753</v>
      </c>
      <c r="R136" s="51" t="n">
        <v>-46.856</v>
      </c>
      <c r="S136" s="52">
        <f>IF($I136="Yes",$O136,"")</f>
        <v/>
      </c>
    </row>
    <row r="137">
      <c r="A137" s="43" t="inlineStr">
        <is>
          <t>4DX.AX</t>
        </is>
      </c>
      <c r="B137" s="44" t="inlineStr">
        <is>
          <t>4DMedical Limited</t>
        </is>
      </c>
      <c r="C137" s="44" t="inlineStr">
        <is>
          <t>AU</t>
        </is>
      </c>
      <c r="D137" s="44" t="inlineStr">
        <is>
          <t>ASX 200</t>
        </is>
      </c>
      <c r="E137" s="44" t="inlineStr">
        <is>
          <t>Healthcare</t>
        </is>
      </c>
      <c r="F137" s="45" t="n">
        <v>2183757312</v>
      </c>
      <c r="G137" s="44" t="inlineStr">
        <is>
          <t>nightly refresh</t>
        </is>
      </c>
      <c r="H137" s="43" t="n">
        <v>159</v>
      </c>
      <c r="I137" s="44" t="inlineStr">
        <is>
          <t>No</t>
        </is>
      </c>
      <c r="J137" s="44" t="inlineStr">
        <is>
          <t>2020-08-07</t>
        </is>
      </c>
      <c r="K137" s="43" t="n">
        <v>1532</v>
      </c>
      <c r="L137" s="44" t="inlineStr">
        <is>
          <t>2020-08-07</t>
        </is>
      </c>
      <c r="M137" s="44" t="inlineStr">
        <is>
          <t>2026-08-26</t>
        </is>
      </c>
      <c r="N137" s="43" t="n">
        <v>75</v>
      </c>
      <c r="O137" s="46" t="n">
        <v>-49.4734</v>
      </c>
      <c r="P137" s="46" t="n">
        <v>-79.7688</v>
      </c>
      <c r="Q137" s="46" t="n">
        <v>304.7892</v>
      </c>
      <c r="R137" s="46" t="n">
        <v>-49.5364</v>
      </c>
      <c r="S137" s="47">
        <f>IF($I137="Yes",$O137,"")</f>
        <v/>
      </c>
    </row>
    <row r="138">
      <c r="A138" s="48" t="inlineStr">
        <is>
          <t>ANN.AX</t>
        </is>
      </c>
      <c r="B138" s="49" t="inlineStr">
        <is>
          <t>Ansell Limited</t>
        </is>
      </c>
      <c r="C138" s="49" t="inlineStr">
        <is>
          <t>AU</t>
        </is>
      </c>
      <c r="D138" s="49" t="inlineStr">
        <is>
          <t>ASX 200</t>
        </is>
      </c>
      <c r="E138" s="49" t="inlineStr">
        <is>
          <t>Healthcare</t>
        </is>
      </c>
      <c r="F138" s="50" t="n">
        <v>5671176704</v>
      </c>
      <c r="G138" s="49" t="inlineStr">
        <is>
          <t>nightly refresh</t>
        </is>
      </c>
      <c r="H138" s="48" t="n">
        <v>100</v>
      </c>
      <c r="I138" s="49" t="inlineStr">
        <is>
          <t>No</t>
        </is>
      </c>
      <c r="J138" s="49" t="inlineStr">
        <is>
          <t>1988-01-29</t>
        </is>
      </c>
      <c r="K138" s="48" t="n">
        <v>6780</v>
      </c>
      <c r="L138" s="49" t="inlineStr">
        <is>
          <t>2000-01-03</t>
        </is>
      </c>
      <c r="M138" s="49" t="inlineStr">
        <is>
          <t>2026-08-26</t>
        </is>
      </c>
      <c r="N138" s="48" t="n">
        <v>324</v>
      </c>
      <c r="O138" s="51" t="n">
        <v>-17.8996</v>
      </c>
      <c r="P138" s="51" t="n">
        <v>-56.9803</v>
      </c>
      <c r="Q138" s="51" t="n">
        <v>35.6574</v>
      </c>
      <c r="R138" s="51" t="n">
        <v>-6.9111</v>
      </c>
      <c r="S138" s="52">
        <f>IF($I138="Yes",$O138,"")</f>
        <v/>
      </c>
    </row>
    <row r="139">
      <c r="A139" s="43" t="inlineStr">
        <is>
          <t>COH.AX</t>
        </is>
      </c>
      <c r="B139" s="44" t="inlineStr">
        <is>
          <t>Cochlear Limited</t>
        </is>
      </c>
      <c r="C139" s="44" t="inlineStr">
        <is>
          <t>AU</t>
        </is>
      </c>
      <c r="D139" s="44" t="inlineStr">
        <is>
          <t>ASX 200</t>
        </is>
      </c>
      <c r="E139" s="44" t="inlineStr">
        <is>
          <t>Healthcare</t>
        </is>
      </c>
      <c r="F139" s="45" t="n">
        <v>9009354752</v>
      </c>
      <c r="G139" s="44" t="inlineStr">
        <is>
          <t>nightly refresh</t>
        </is>
      </c>
      <c r="H139" s="43" t="n">
        <v>72</v>
      </c>
      <c r="I139" s="44" t="inlineStr">
        <is>
          <t>No</t>
        </is>
      </c>
      <c r="J139" s="44" t="inlineStr">
        <is>
          <t>1995-12-29</t>
        </is>
      </c>
      <c r="K139" s="43" t="n">
        <v>6780</v>
      </c>
      <c r="L139" s="44" t="inlineStr">
        <is>
          <t>2000-01-03</t>
        </is>
      </c>
      <c r="M139" s="44" t="inlineStr">
        <is>
          <t>2026-08-26</t>
        </is>
      </c>
      <c r="N139" s="43" t="n">
        <v>344</v>
      </c>
      <c r="O139" s="46" t="n">
        <v>-17.9099</v>
      </c>
      <c r="P139" s="46" t="n">
        <v>-71.27209999999999</v>
      </c>
      <c r="Q139" s="46" t="n">
        <v>39.0945</v>
      </c>
      <c r="R139" s="46" t="n">
        <v>-53.7536</v>
      </c>
      <c r="S139" s="47">
        <f>IF($I139="Yes",$O139,"")</f>
        <v/>
      </c>
    </row>
    <row r="140">
      <c r="A140" s="48" t="inlineStr">
        <is>
          <t>CSL.AX</t>
        </is>
      </c>
      <c r="B140" s="49" t="inlineStr">
        <is>
          <t>CSL Limited</t>
        </is>
      </c>
      <c r="C140" s="49" t="inlineStr">
        <is>
          <t>AU</t>
        </is>
      </c>
      <c r="D140" s="49" t="inlineStr">
        <is>
          <t>ASX 200</t>
        </is>
      </c>
      <c r="E140" s="49" t="inlineStr">
        <is>
          <t>Healthcare</t>
        </is>
      </c>
      <c r="F140" s="50" t="n">
        <v>83273211904</v>
      </c>
      <c r="G140" s="49" t="inlineStr">
        <is>
          <t>nightly refresh</t>
        </is>
      </c>
      <c r="H140" s="48" t="n">
        <v>10</v>
      </c>
      <c r="I140" s="49" t="inlineStr">
        <is>
          <t>Yes</t>
        </is>
      </c>
      <c r="J140" s="49" t="inlineStr">
        <is>
          <t>1994-05-31</t>
        </is>
      </c>
      <c r="K140" s="48" t="n">
        <v>6780</v>
      </c>
      <c r="L140" s="49" t="inlineStr">
        <is>
          <t>2000-01-03</t>
        </is>
      </c>
      <c r="M140" s="49" t="inlineStr">
        <is>
          <t>2026-08-26</t>
        </is>
      </c>
      <c r="N140" s="48" t="n">
        <v>324</v>
      </c>
      <c r="O140" s="51" t="n">
        <v>-18.1997</v>
      </c>
      <c r="P140" s="51" t="n">
        <v>-69.17910000000001</v>
      </c>
      <c r="Q140" s="51" t="n">
        <v>43.2912</v>
      </c>
      <c r="R140" s="51" t="n">
        <v>-21.4893</v>
      </c>
      <c r="S140" s="52">
        <f>IF($I140="Yes",$O140,"")</f>
        <v/>
      </c>
    </row>
    <row r="141">
      <c r="A141" s="43" t="inlineStr">
        <is>
          <t>FPH.AX</t>
        </is>
      </c>
      <c r="B141" s="44" t="inlineStr">
        <is>
          <t>Fisher &amp; Paykel Healthcare Corporation Limited</t>
        </is>
      </c>
      <c r="C141" s="44" t="inlineStr">
        <is>
          <t>AU</t>
        </is>
      </c>
      <c r="D141" s="44" t="inlineStr">
        <is>
          <t>ASX 200</t>
        </is>
      </c>
      <c r="E141" s="44" t="inlineStr">
        <is>
          <t>Healthcare</t>
        </is>
      </c>
      <c r="F141" s="45" t="n">
        <v>21406685184</v>
      </c>
      <c r="G141" s="44" t="inlineStr">
        <is>
          <t>nightly refresh</t>
        </is>
      </c>
      <c r="H141" s="43" t="n">
        <v>33</v>
      </c>
      <c r="I141" s="44" t="inlineStr">
        <is>
          <t>Yes</t>
        </is>
      </c>
      <c r="J141" s="44" t="inlineStr">
        <is>
          <t>2001-11-21</t>
        </is>
      </c>
      <c r="K141" s="43" t="n">
        <v>6288</v>
      </c>
      <c r="L141" s="44" t="inlineStr">
        <is>
          <t>2001-11-21</t>
        </is>
      </c>
      <c r="M141" s="44" t="inlineStr">
        <is>
          <t>2026-08-26</t>
        </is>
      </c>
      <c r="N141" s="43" t="n">
        <v>276</v>
      </c>
      <c r="O141" s="46" t="n">
        <v>-16.5949</v>
      </c>
      <c r="P141" s="46" t="n">
        <v>-52.7379</v>
      </c>
      <c r="Q141" s="46" t="n">
        <v>42.9833</v>
      </c>
      <c r="R141" s="46" t="n">
        <v>-1.6176</v>
      </c>
      <c r="S141" s="47">
        <f>IF($I141="Yes",$O141,"")</f>
        <v/>
      </c>
    </row>
    <row r="142">
      <c r="A142" s="48" t="inlineStr">
        <is>
          <t>MSB.AX</t>
        </is>
      </c>
      <c r="B142" s="49" t="inlineStr">
        <is>
          <t>Mesoblast Limited</t>
        </is>
      </c>
      <c r="C142" s="49" t="inlineStr">
        <is>
          <t>AU</t>
        </is>
      </c>
      <c r="D142" s="49" t="inlineStr">
        <is>
          <t>ASX 200</t>
        </is>
      </c>
      <c r="E142" s="49" t="inlineStr">
        <is>
          <t>Healthcare</t>
        </is>
      </c>
      <c r="F142" s="50" t="n">
        <v>3125675776</v>
      </c>
      <c r="G142" s="49" t="inlineStr">
        <is>
          <t>nightly refresh</t>
        </is>
      </c>
      <c r="H142" s="48" t="n">
        <v>134</v>
      </c>
      <c r="I142" s="49" t="inlineStr">
        <is>
          <t>No</t>
        </is>
      </c>
      <c r="J142" s="49" t="inlineStr">
        <is>
          <t>2004-12-15</t>
        </is>
      </c>
      <c r="K142" s="48" t="n">
        <v>5488</v>
      </c>
      <c r="L142" s="49" t="inlineStr">
        <is>
          <t>2004-12-15</t>
        </is>
      </c>
      <c r="M142" s="49" t="inlineStr">
        <is>
          <t>2026-08-26</t>
        </is>
      </c>
      <c r="N142" s="48" t="n">
        <v>273</v>
      </c>
      <c r="O142" s="51" t="n">
        <v>-39.5535</v>
      </c>
      <c r="P142" s="51" t="n">
        <v>-80.0164</v>
      </c>
      <c r="Q142" s="51" t="n">
        <v>115.2051</v>
      </c>
      <c r="R142" s="51" t="n">
        <v>-28.7009</v>
      </c>
      <c r="S142" s="52">
        <f>IF($I142="Yes",$O142,"")</f>
        <v/>
      </c>
    </row>
    <row r="143">
      <c r="A143" s="43" t="inlineStr">
        <is>
          <t>NEU.AX</t>
        </is>
      </c>
      <c r="B143" s="44" t="inlineStr">
        <is>
          <t>Neuren Pharmaceuticals Limited</t>
        </is>
      </c>
      <c r="C143" s="44" t="inlineStr">
        <is>
          <t>AU</t>
        </is>
      </c>
      <c r="D143" s="44" t="inlineStr">
        <is>
          <t>ASX 200</t>
        </is>
      </c>
      <c r="E143" s="44" t="inlineStr">
        <is>
          <t>Healthcare</t>
        </is>
      </c>
      <c r="F143" s="45" t="n">
        <v>2664788992</v>
      </c>
      <c r="G143" s="44" t="inlineStr">
        <is>
          <t>nightly refresh</t>
        </is>
      </c>
      <c r="H143" s="43" t="n">
        <v>143</v>
      </c>
      <c r="I143" s="44" t="inlineStr">
        <is>
          <t>No</t>
        </is>
      </c>
      <c r="J143" s="44" t="inlineStr">
        <is>
          <t>2005-02-02</t>
        </is>
      </c>
      <c r="K143" s="43" t="n">
        <v>5455</v>
      </c>
      <c r="L143" s="44" t="inlineStr">
        <is>
          <t>2005-02-02</t>
        </is>
      </c>
      <c r="M143" s="44" t="inlineStr">
        <is>
          <t>2026-08-26</t>
        </is>
      </c>
      <c r="N143" s="43" t="n">
        <v>234</v>
      </c>
      <c r="O143" s="46" t="n">
        <v>-39.8813</v>
      </c>
      <c r="P143" s="46" t="n">
        <v>-97.7778</v>
      </c>
      <c r="Q143" s="46" t="n">
        <v>182.0094</v>
      </c>
      <c r="R143" s="46" t="n">
        <v>-15.1936</v>
      </c>
      <c r="S143" s="47">
        <f>IF($I143="Yes",$O143,"")</f>
        <v/>
      </c>
    </row>
    <row r="144">
      <c r="A144" s="48" t="inlineStr">
        <is>
          <t>PME.AX</t>
        </is>
      </c>
      <c r="B144" s="49" t="inlineStr">
        <is>
          <t>Pro Medicus Limited</t>
        </is>
      </c>
      <c r="C144" s="49" t="inlineStr">
        <is>
          <t>AU</t>
        </is>
      </c>
      <c r="D144" s="49" t="inlineStr">
        <is>
          <t>ASX 200</t>
        </is>
      </c>
      <c r="E144" s="49" t="inlineStr">
        <is>
          <t>Healthcare</t>
        </is>
      </c>
      <c r="F144" s="50" t="n">
        <v>18725197824</v>
      </c>
      <c r="G144" s="49" t="inlineStr">
        <is>
          <t>nightly refresh</t>
        </is>
      </c>
      <c r="H144" s="48" t="n">
        <v>36</v>
      </c>
      <c r="I144" s="49" t="inlineStr">
        <is>
          <t>Yes</t>
        </is>
      </c>
      <c r="J144" s="49" t="inlineStr">
        <is>
          <t>2000-10-09</t>
        </is>
      </c>
      <c r="K144" s="48" t="n">
        <v>6580</v>
      </c>
      <c r="L144" s="49" t="inlineStr">
        <is>
          <t>2000-10-09</t>
        </is>
      </c>
      <c r="M144" s="49" t="inlineStr">
        <is>
          <t>2026-08-26</t>
        </is>
      </c>
      <c r="N144" s="48" t="n">
        <v>260</v>
      </c>
      <c r="O144" s="51" t="n">
        <v>-23.7208</v>
      </c>
      <c r="P144" s="51" t="n">
        <v>-67.77970000000001</v>
      </c>
      <c r="Q144" s="51" t="n">
        <v>90.68859999999999</v>
      </c>
      <c r="R144" s="51" t="n">
        <v>-42.4357</v>
      </c>
      <c r="S144" s="52">
        <f>IF($I144="Yes",$O144,"")</f>
        <v/>
      </c>
    </row>
    <row r="145">
      <c r="A145" s="43" t="inlineStr">
        <is>
          <t>RHC.AX</t>
        </is>
      </c>
      <c r="B145" s="44" t="inlineStr">
        <is>
          <t>Ramsay Health Care Limited</t>
        </is>
      </c>
      <c r="C145" s="44" t="inlineStr">
        <is>
          <t>AU</t>
        </is>
      </c>
      <c r="D145" s="44" t="inlineStr">
        <is>
          <t>ASX 200</t>
        </is>
      </c>
      <c r="E145" s="44" t="inlineStr">
        <is>
          <t>Healthcare</t>
        </is>
      </c>
      <c r="F145" s="45" t="n">
        <v>11555340288</v>
      </c>
      <c r="G145" s="44" t="inlineStr">
        <is>
          <t>nightly refresh</t>
        </is>
      </c>
      <c r="H145" s="43" t="n">
        <v>54</v>
      </c>
      <c r="I145" s="44" t="inlineStr">
        <is>
          <t>Yes</t>
        </is>
      </c>
      <c r="J145" s="44" t="inlineStr">
        <is>
          <t>1997-09-30</t>
        </is>
      </c>
      <c r="K145" s="43" t="n">
        <v>6780</v>
      </c>
      <c r="L145" s="44" t="inlineStr">
        <is>
          <t>2000-01-03</t>
        </is>
      </c>
      <c r="M145" s="44" t="inlineStr">
        <is>
          <t>2026-08-26</t>
        </is>
      </c>
      <c r="N145" s="43" t="n">
        <v>327</v>
      </c>
      <c r="O145" s="46" t="n">
        <v>-15.675</v>
      </c>
      <c r="P145" s="46" t="n">
        <v>-41.8818</v>
      </c>
      <c r="Q145" s="46" t="n">
        <v>43.6403</v>
      </c>
      <c r="R145" s="46" t="n">
        <v>-3.5072</v>
      </c>
      <c r="S145" s="47">
        <f>IF($I145="Yes",$O145,"")</f>
        <v/>
      </c>
    </row>
    <row r="146">
      <c r="A146" s="48" t="inlineStr">
        <is>
          <t>RMD.AX</t>
        </is>
      </c>
      <c r="B146" s="49" t="inlineStr">
        <is>
          <t>ResMed Inc.</t>
        </is>
      </c>
      <c r="C146" s="49" t="inlineStr">
        <is>
          <t>AU</t>
        </is>
      </c>
      <c r="D146" s="49" t="inlineStr">
        <is>
          <t>ASX 200</t>
        </is>
      </c>
      <c r="E146" s="49" t="inlineStr">
        <is>
          <t>Healthcare</t>
        </is>
      </c>
      <c r="F146" s="50" t="n">
        <v>46723317760</v>
      </c>
      <c r="G146" s="49" t="inlineStr">
        <is>
          <t>nightly refresh</t>
        </is>
      </c>
      <c r="H146" s="48" t="n">
        <v>17</v>
      </c>
      <c r="I146" s="49" t="inlineStr">
        <is>
          <t>Yes</t>
        </is>
      </c>
      <c r="J146" s="49" t="inlineStr">
        <is>
          <t>1999-11-25</t>
        </is>
      </c>
      <c r="K146" s="48" t="n">
        <v>6780</v>
      </c>
      <c r="L146" s="49" t="inlineStr">
        <is>
          <t>2000-01-03</t>
        </is>
      </c>
      <c r="M146" s="49" t="inlineStr">
        <is>
          <t>2026-08-26</t>
        </is>
      </c>
      <c r="N146" s="48" t="n">
        <v>310</v>
      </c>
      <c r="O146" s="51" t="n">
        <v>-19.1284</v>
      </c>
      <c r="P146" s="51" t="n">
        <v>-63.1182</v>
      </c>
      <c r="Q146" s="51" t="n">
        <v>45.716</v>
      </c>
      <c r="R146" s="51" t="n">
        <v>-24.991</v>
      </c>
      <c r="S146" s="52">
        <f>IF($I146="Yes",$O146,"")</f>
        <v/>
      </c>
    </row>
    <row r="147">
      <c r="A147" s="43" t="inlineStr">
        <is>
          <t>SHL.AX</t>
        </is>
      </c>
      <c r="B147" s="44" t="inlineStr">
        <is>
          <t>Sonic Healthcare Limited</t>
        </is>
      </c>
      <c r="C147" s="44" t="inlineStr">
        <is>
          <t>AU</t>
        </is>
      </c>
      <c r="D147" s="44" t="inlineStr">
        <is>
          <t>ASX 200</t>
        </is>
      </c>
      <c r="E147" s="44" t="inlineStr">
        <is>
          <t>Healthcare</t>
        </is>
      </c>
      <c r="F147" s="45" t="n">
        <v>9934183424</v>
      </c>
      <c r="G147" s="44" t="inlineStr">
        <is>
          <t>nightly refresh</t>
        </is>
      </c>
      <c r="H147" s="43" t="n">
        <v>68</v>
      </c>
      <c r="I147" s="44" t="inlineStr">
        <is>
          <t>No</t>
        </is>
      </c>
      <c r="J147" s="44" t="inlineStr">
        <is>
          <t>1988-01-29</t>
        </is>
      </c>
      <c r="K147" s="43" t="n">
        <v>6780</v>
      </c>
      <c r="L147" s="44" t="inlineStr">
        <is>
          <t>2000-01-03</t>
        </is>
      </c>
      <c r="M147" s="44" t="inlineStr">
        <is>
          <t>2026-08-26</t>
        </is>
      </c>
      <c r="N147" s="43" t="n">
        <v>330</v>
      </c>
      <c r="O147" s="46" t="n">
        <v>-15.9248</v>
      </c>
      <c r="P147" s="46" t="n">
        <v>-50.2308</v>
      </c>
      <c r="Q147" s="46" t="n">
        <v>31.6791</v>
      </c>
      <c r="R147" s="46" t="n">
        <v>-15.7426</v>
      </c>
      <c r="S147" s="47">
        <f>IF($I147="Yes",$O147,"")</f>
        <v/>
      </c>
    </row>
    <row r="148">
      <c r="A148" s="48" t="inlineStr">
        <is>
          <t>SIG.AX</t>
        </is>
      </c>
      <c r="B148" s="49" t="inlineStr">
        <is>
          <t>Sigma Healthcare Limited</t>
        </is>
      </c>
      <c r="C148" s="49" t="inlineStr">
        <is>
          <t>AU</t>
        </is>
      </c>
      <c r="D148" s="49" t="inlineStr">
        <is>
          <t>ASX 200</t>
        </is>
      </c>
      <c r="E148" s="49" t="inlineStr">
        <is>
          <t>Healthcare</t>
        </is>
      </c>
      <c r="F148" s="50" t="n">
        <v>30244499456</v>
      </c>
      <c r="G148" s="49" t="inlineStr">
        <is>
          <t>nightly refresh</t>
        </is>
      </c>
      <c r="H148" s="48" t="n">
        <v>24</v>
      </c>
      <c r="I148" s="49" t="inlineStr">
        <is>
          <t>Yes</t>
        </is>
      </c>
      <c r="J148" s="49" t="inlineStr">
        <is>
          <t>2000-01-04</t>
        </is>
      </c>
      <c r="K148" s="48" t="n">
        <v>6779</v>
      </c>
      <c r="L148" s="49" t="inlineStr">
        <is>
          <t>2000-01-04</t>
        </is>
      </c>
      <c r="M148" s="49" t="inlineStr">
        <is>
          <t>2026-08-26</t>
        </is>
      </c>
      <c r="N148" s="48" t="n">
        <v>283</v>
      </c>
      <c r="O148" s="51" t="n">
        <v>-24.9284</v>
      </c>
      <c r="P148" s="51" t="n">
        <v>-82.1086</v>
      </c>
      <c r="Q148" s="51" t="n">
        <v>62.7559</v>
      </c>
      <c r="R148" s="51" t="n">
        <v>-10.595</v>
      </c>
      <c r="S148" s="52">
        <f>IF($I148="Yes",$O148,"")</f>
        <v/>
      </c>
    </row>
    <row r="149">
      <c r="A149" s="43" t="inlineStr">
        <is>
          <t>TLX.AX</t>
        </is>
      </c>
      <c r="B149" s="44" t="inlineStr">
        <is>
          <t>Telix Pharmaceuticals Limited</t>
        </is>
      </c>
      <c r="C149" s="44" t="inlineStr">
        <is>
          <t>AU</t>
        </is>
      </c>
      <c r="D149" s="44" t="inlineStr">
        <is>
          <t>ASX 200</t>
        </is>
      </c>
      <c r="E149" s="44" t="inlineStr">
        <is>
          <t>Healthcare</t>
        </is>
      </c>
      <c r="F149" s="45" t="n">
        <v>5278146560</v>
      </c>
      <c r="G149" s="44" t="inlineStr">
        <is>
          <t>nightly refresh</t>
        </is>
      </c>
      <c r="H149" s="43" t="n">
        <v>104</v>
      </c>
      <c r="I149" s="44" t="inlineStr">
        <is>
          <t>No</t>
        </is>
      </c>
      <c r="J149" s="44" t="inlineStr">
        <is>
          <t>2017-11-15</t>
        </is>
      </c>
      <c r="K149" s="43" t="n">
        <v>2221</v>
      </c>
      <c r="L149" s="44" t="inlineStr">
        <is>
          <t>2017-11-15</t>
        </is>
      </c>
      <c r="M149" s="44" t="inlineStr">
        <is>
          <t>2026-08-26</t>
        </is>
      </c>
      <c r="N149" s="43" t="n">
        <v>107</v>
      </c>
      <c r="O149" s="46" t="n">
        <v>-28.8303</v>
      </c>
      <c r="P149" s="46" t="n">
        <v>-73.0059</v>
      </c>
      <c r="Q149" s="46" t="n">
        <v>141.3471</v>
      </c>
      <c r="R149" s="46" t="n">
        <v>-15.4476</v>
      </c>
      <c r="S149" s="47">
        <f>IF($I149="Yes",$O149,"")</f>
        <v/>
      </c>
    </row>
    <row r="150">
      <c r="A150" s="48" t="inlineStr">
        <is>
          <t>AIA.AX</t>
        </is>
      </c>
      <c r="B150" s="49" t="inlineStr">
        <is>
          <t>Auckland International Airport Limited</t>
        </is>
      </c>
      <c r="C150" s="49" t="inlineStr">
        <is>
          <t>AU</t>
        </is>
      </c>
      <c r="D150" s="49" t="inlineStr">
        <is>
          <t>ASX 200</t>
        </is>
      </c>
      <c r="E150" s="49" t="inlineStr">
        <is>
          <t>Industrials</t>
        </is>
      </c>
      <c r="F150" s="50" t="n">
        <v>12052779008</v>
      </c>
      <c r="G150" s="49" t="inlineStr">
        <is>
          <t>nightly refresh</t>
        </is>
      </c>
      <c r="H150" s="48" t="n">
        <v>52</v>
      </c>
      <c r="I150" s="49" t="inlineStr">
        <is>
          <t>Yes</t>
        </is>
      </c>
      <c r="J150" s="49" t="inlineStr">
        <is>
          <t>1999-02-22</t>
        </is>
      </c>
      <c r="K150" s="48" t="n">
        <v>6780</v>
      </c>
      <c r="L150" s="49" t="inlineStr">
        <is>
          <t>2000-01-03</t>
        </is>
      </c>
      <c r="M150" s="49" t="inlineStr">
        <is>
          <t>2026-08-26</t>
        </is>
      </c>
      <c r="N150" s="48" t="n">
        <v>292</v>
      </c>
      <c r="O150" s="51" t="n">
        <v>-17.1374</v>
      </c>
      <c r="P150" s="51" t="n">
        <v>-76.0924</v>
      </c>
      <c r="Q150" s="51" t="n">
        <v>36.4909</v>
      </c>
      <c r="R150" s="51" t="n">
        <v>-6.4908</v>
      </c>
      <c r="S150" s="52">
        <f>IF($I150="Yes",$O150,"")</f>
        <v/>
      </c>
    </row>
    <row r="151">
      <c r="A151" s="43" t="inlineStr">
        <is>
          <t>ALQ.AX</t>
        </is>
      </c>
      <c r="B151" s="44" t="inlineStr">
        <is>
          <t>ALS Limited</t>
        </is>
      </c>
      <c r="C151" s="44" t="inlineStr">
        <is>
          <t>AU</t>
        </is>
      </c>
      <c r="D151" s="44" t="inlineStr">
        <is>
          <t>ASX 200</t>
        </is>
      </c>
      <c r="E151" s="44" t="inlineStr">
        <is>
          <t>Industrials</t>
        </is>
      </c>
      <c r="F151" s="45" t="n">
        <v>11363877888</v>
      </c>
      <c r="G151" s="44" t="inlineStr">
        <is>
          <t>nightly refresh</t>
        </is>
      </c>
      <c r="H151" s="43" t="n">
        <v>56</v>
      </c>
      <c r="I151" s="44" t="inlineStr">
        <is>
          <t>Yes</t>
        </is>
      </c>
      <c r="J151" s="44" t="inlineStr">
        <is>
          <t>1988-01-29</t>
        </is>
      </c>
      <c r="K151" s="43" t="n">
        <v>6780</v>
      </c>
      <c r="L151" s="44" t="inlineStr">
        <is>
          <t>2000-01-03</t>
        </is>
      </c>
      <c r="M151" s="44" t="inlineStr">
        <is>
          <t>2026-08-26</t>
        </is>
      </c>
      <c r="N151" s="43" t="n">
        <v>297</v>
      </c>
      <c r="O151" s="46" t="n">
        <v>-18.8031</v>
      </c>
      <c r="P151" s="46" t="n">
        <v>-76.1045</v>
      </c>
      <c r="Q151" s="46" t="n">
        <v>55.8159</v>
      </c>
      <c r="R151" s="46" t="n">
        <v>-12.7368</v>
      </c>
      <c r="S151" s="47">
        <f>IF($I151="Yes",$O151,"")</f>
        <v/>
      </c>
    </row>
    <row r="152">
      <c r="A152" s="48" t="inlineStr">
        <is>
          <t>ALX.AX</t>
        </is>
      </c>
      <c r="B152" s="49" t="inlineStr">
        <is>
          <t>Atlas Arteria Limited</t>
        </is>
      </c>
      <c r="C152" s="49" t="inlineStr">
        <is>
          <t>AU</t>
        </is>
      </c>
      <c r="D152" s="49" t="inlineStr">
        <is>
          <t>ASX 200</t>
        </is>
      </c>
      <c r="E152" s="49" t="inlineStr">
        <is>
          <t>Industrials</t>
        </is>
      </c>
      <c r="F152" s="50" t="n">
        <v>6831419392</v>
      </c>
      <c r="G152" s="49" t="inlineStr">
        <is>
          <t>nightly refresh</t>
        </is>
      </c>
      <c r="H152" s="48" t="n">
        <v>84</v>
      </c>
      <c r="I152" s="49" t="inlineStr">
        <is>
          <t>No</t>
        </is>
      </c>
      <c r="J152" s="49" t="inlineStr">
        <is>
          <t>2010-01-25</t>
        </is>
      </c>
      <c r="K152" s="48" t="n">
        <v>4195</v>
      </c>
      <c r="L152" s="49" t="inlineStr">
        <is>
          <t>2010-01-25</t>
        </is>
      </c>
      <c r="M152" s="49" t="inlineStr">
        <is>
          <t>2026-08-26</t>
        </is>
      </c>
      <c r="N152" s="48" t="n">
        <v>207</v>
      </c>
      <c r="O152" s="51" t="n">
        <v>-15.0777</v>
      </c>
      <c r="P152" s="51" t="n">
        <v>-49.2974</v>
      </c>
      <c r="Q152" s="51" t="n">
        <v>49.8652</v>
      </c>
      <c r="R152" s="51" t="n">
        <v>-8.3095</v>
      </c>
      <c r="S152" s="52">
        <f>IF($I152="Yes",$O152,"")</f>
        <v/>
      </c>
    </row>
    <row r="153">
      <c r="A153" s="43" t="inlineStr">
        <is>
          <t>ASB.AX</t>
        </is>
      </c>
      <c r="B153" s="44" t="inlineStr">
        <is>
          <t>Austal Limited</t>
        </is>
      </c>
      <c r="C153" s="44" t="inlineStr">
        <is>
          <t>AU</t>
        </is>
      </c>
      <c r="D153" s="44" t="inlineStr">
        <is>
          <t>ASX 200</t>
        </is>
      </c>
      <c r="E153" s="44" t="inlineStr">
        <is>
          <t>Industrials</t>
        </is>
      </c>
      <c r="F153" s="45" t="n">
        <v>1734724992</v>
      </c>
      <c r="G153" s="44" t="inlineStr">
        <is>
          <t>nightly refresh</t>
        </is>
      </c>
      <c r="H153" s="43" t="n">
        <v>173</v>
      </c>
      <c r="I153" s="44" t="inlineStr">
        <is>
          <t>No</t>
        </is>
      </c>
      <c r="J153" s="44" t="inlineStr">
        <is>
          <t>1998-12-31</t>
        </is>
      </c>
      <c r="K153" s="43" t="n">
        <v>6780</v>
      </c>
      <c r="L153" s="44" t="inlineStr">
        <is>
          <t>2000-01-03</t>
        </is>
      </c>
      <c r="M153" s="44" t="inlineStr">
        <is>
          <t>2026-08-26</t>
        </is>
      </c>
      <c r="N153" s="43" t="n">
        <v>317</v>
      </c>
      <c r="O153" s="46" t="n">
        <v>-28.44</v>
      </c>
      <c r="P153" s="46" t="n">
        <v>-71.31359999999999</v>
      </c>
      <c r="Q153" s="46" t="n">
        <v>65.8952</v>
      </c>
      <c r="R153" s="46" t="n">
        <v>-52.2676</v>
      </c>
      <c r="S153" s="47">
        <f>IF($I153="Yes",$O153,"")</f>
        <v/>
      </c>
    </row>
    <row r="154">
      <c r="A154" s="48" t="inlineStr">
        <is>
          <t>AZJ.AX</t>
        </is>
      </c>
      <c r="B154" s="49" t="inlineStr">
        <is>
          <t>Aurizon Holdings Limited</t>
        </is>
      </c>
      <c r="C154" s="49" t="inlineStr">
        <is>
          <t>AU</t>
        </is>
      </c>
      <c r="D154" s="49" t="inlineStr">
        <is>
          <t>ASX 200</t>
        </is>
      </c>
      <c r="E154" s="49" t="inlineStr">
        <is>
          <t>Industrials</t>
        </is>
      </c>
      <c r="F154" s="50" t="n">
        <v>6295569408</v>
      </c>
      <c r="G154" s="49" t="inlineStr">
        <is>
          <t>nightly refresh</t>
        </is>
      </c>
      <c r="H154" s="48" t="n">
        <v>90</v>
      </c>
      <c r="I154" s="49" t="inlineStr">
        <is>
          <t>No</t>
        </is>
      </c>
      <c r="J154" s="49" t="inlineStr">
        <is>
          <t>2010-11-22</t>
        </is>
      </c>
      <c r="K154" s="48" t="n">
        <v>3985</v>
      </c>
      <c r="L154" s="49" t="inlineStr">
        <is>
          <t>2010-11-22</t>
        </is>
      </c>
      <c r="M154" s="49" t="inlineStr">
        <is>
          <t>2026-08-26</t>
        </is>
      </c>
      <c r="N154" s="48" t="n">
        <v>170</v>
      </c>
      <c r="O154" s="51" t="n">
        <v>-14.6234</v>
      </c>
      <c r="P154" s="51" t="n">
        <v>-39.8946</v>
      </c>
      <c r="Q154" s="51" t="n">
        <v>29.2295</v>
      </c>
      <c r="R154" s="51" t="n">
        <v>-15.3846</v>
      </c>
      <c r="S154" s="52">
        <f>IF($I154="Yes",$O154,"")</f>
        <v/>
      </c>
    </row>
    <row r="155">
      <c r="A155" s="43" t="inlineStr">
        <is>
          <t>BXB.AX</t>
        </is>
      </c>
      <c r="B155" s="44" t="inlineStr">
        <is>
          <t>Brambles Limited</t>
        </is>
      </c>
      <c r="C155" s="44" t="inlineStr">
        <is>
          <t>AU</t>
        </is>
      </c>
      <c r="D155" s="44" t="inlineStr">
        <is>
          <t>ASX 200</t>
        </is>
      </c>
      <c r="E155" s="44" t="inlineStr">
        <is>
          <t>Industrials</t>
        </is>
      </c>
      <c r="F155" s="45" t="n">
        <v>26096109568</v>
      </c>
      <c r="G155" s="44" t="inlineStr">
        <is>
          <t>nightly refresh</t>
        </is>
      </c>
      <c r="H155" s="43" t="n">
        <v>28</v>
      </c>
      <c r="I155" s="44" t="inlineStr">
        <is>
          <t>Yes</t>
        </is>
      </c>
      <c r="J155" s="44" t="inlineStr">
        <is>
          <t>1988-01-29</t>
        </is>
      </c>
      <c r="K155" s="43" t="n">
        <v>6519</v>
      </c>
      <c r="L155" s="44" t="inlineStr">
        <is>
          <t>2001-01-02</t>
        </is>
      </c>
      <c r="M155" s="44" t="inlineStr">
        <is>
          <t>2026-08-26</t>
        </is>
      </c>
      <c r="N155" s="43" t="n">
        <v>315</v>
      </c>
      <c r="O155" s="46" t="n">
        <v>-17.8579</v>
      </c>
      <c r="P155" s="46" t="n">
        <v>-62.9128</v>
      </c>
      <c r="Q155" s="46" t="n">
        <v>33.1434</v>
      </c>
      <c r="R155" s="46" t="n">
        <v>-25.2537</v>
      </c>
      <c r="S155" s="47">
        <f>IF($I155="Yes",$O155,"")</f>
        <v/>
      </c>
    </row>
    <row r="156">
      <c r="A156" s="48" t="inlineStr">
        <is>
          <t>CWY.AX</t>
        </is>
      </c>
      <c r="B156" s="49" t="inlineStr">
        <is>
          <t>Cleanaway Waste Management Limited</t>
        </is>
      </c>
      <c r="C156" s="49" t="inlineStr">
        <is>
          <t>AU</t>
        </is>
      </c>
      <c r="D156" s="49" t="inlineStr">
        <is>
          <t>ASX 200</t>
        </is>
      </c>
      <c r="E156" s="49" t="inlineStr">
        <is>
          <t>Industrials</t>
        </is>
      </c>
      <c r="F156" s="50" t="n">
        <v>5737497088</v>
      </c>
      <c r="G156" s="49" t="inlineStr">
        <is>
          <t>nightly refresh</t>
        </is>
      </c>
      <c r="H156" s="48" t="n">
        <v>98</v>
      </c>
      <c r="I156" s="49" t="inlineStr">
        <is>
          <t>No</t>
        </is>
      </c>
      <c r="J156" s="49" t="inlineStr">
        <is>
          <t>2005-05-02</t>
        </is>
      </c>
      <c r="K156" s="48" t="n">
        <v>5395</v>
      </c>
      <c r="L156" s="49" t="inlineStr">
        <is>
          <t>2005-05-02</t>
        </is>
      </c>
      <c r="M156" s="49" t="inlineStr">
        <is>
          <t>2026-08-26</t>
        </is>
      </c>
      <c r="N156" s="48" t="n">
        <v>254</v>
      </c>
      <c r="O156" s="51" t="n">
        <v>-22.7953</v>
      </c>
      <c r="P156" s="51" t="n">
        <v>-83.0284</v>
      </c>
      <c r="Q156" s="51" t="n">
        <v>49.0913</v>
      </c>
      <c r="R156" s="51" t="n">
        <v>-12.6521</v>
      </c>
      <c r="S156" s="52">
        <f>IF($I156="Yes",$O156,"")</f>
        <v/>
      </c>
    </row>
    <row r="157">
      <c r="A157" s="43" t="inlineStr">
        <is>
          <t>DBI.AX</t>
        </is>
      </c>
      <c r="B157" s="44" t="inlineStr">
        <is>
          <t>Dalrymple Bay Infrastructure Limited</t>
        </is>
      </c>
      <c r="C157" s="44" t="inlineStr">
        <is>
          <t>AU</t>
        </is>
      </c>
      <c r="D157" s="44" t="inlineStr">
        <is>
          <t>ASX 200</t>
        </is>
      </c>
      <c r="E157" s="44" t="inlineStr">
        <is>
          <t>Industrials</t>
        </is>
      </c>
      <c r="F157" s="45" t="n">
        <v>2597790976</v>
      </c>
      <c r="G157" s="44" t="inlineStr">
        <is>
          <t>nightly refresh</t>
        </is>
      </c>
      <c r="H157" s="43" t="n">
        <v>145</v>
      </c>
      <c r="I157" s="44" t="inlineStr">
        <is>
          <t>No</t>
        </is>
      </c>
      <c r="J157" s="44" t="inlineStr">
        <is>
          <t>2020-12-08</t>
        </is>
      </c>
      <c r="K157" s="43" t="n">
        <v>1445</v>
      </c>
      <c r="L157" s="44" t="inlineStr">
        <is>
          <t>2020-12-08</t>
        </is>
      </c>
      <c r="M157" s="44" t="inlineStr">
        <is>
          <t>2026-08-26</t>
        </is>
      </c>
      <c r="N157" s="43" t="n">
        <v>44</v>
      </c>
      <c r="O157" s="46" t="n">
        <v>-10.005</v>
      </c>
      <c r="P157" s="46" t="n">
        <v>-16.4183</v>
      </c>
      <c r="Q157" s="46" t="n">
        <v>38.0396</v>
      </c>
      <c r="R157" s="46" t="n">
        <v>-11.3145</v>
      </c>
      <c r="S157" s="47">
        <f>IF($I157="Yes",$O157,"")</f>
        <v/>
      </c>
    </row>
    <row r="158">
      <c r="A158" s="48" t="inlineStr">
        <is>
          <t>DOW.AX</t>
        </is>
      </c>
      <c r="B158" s="49" t="inlineStr">
        <is>
          <t>Downer EDI Limited</t>
        </is>
      </c>
      <c r="C158" s="49" t="inlineStr">
        <is>
          <t>AU</t>
        </is>
      </c>
      <c r="D158" s="49" t="inlineStr">
        <is>
          <t>ASX 200</t>
        </is>
      </c>
      <c r="E158" s="49" t="inlineStr">
        <is>
          <t>Industrials</t>
        </is>
      </c>
      <c r="F158" s="50" t="n">
        <v>4349470720</v>
      </c>
      <c r="G158" s="49" t="inlineStr">
        <is>
          <t>nightly refresh</t>
        </is>
      </c>
      <c r="H158" s="48" t="n">
        <v>119</v>
      </c>
      <c r="I158" s="49" t="inlineStr">
        <is>
          <t>No</t>
        </is>
      </c>
      <c r="J158" s="49" t="inlineStr">
        <is>
          <t>1990-12-28</t>
        </is>
      </c>
      <c r="K158" s="48" t="n">
        <v>6780</v>
      </c>
      <c r="L158" s="49" t="inlineStr">
        <is>
          <t>2000-01-03</t>
        </is>
      </c>
      <c r="M158" s="49" t="inlineStr">
        <is>
          <t>2026-08-26</t>
        </is>
      </c>
      <c r="N158" s="48" t="n">
        <v>302</v>
      </c>
      <c r="O158" s="51" t="n">
        <v>-22.9357</v>
      </c>
      <c r="P158" s="51" t="n">
        <v>-68.79510000000001</v>
      </c>
      <c r="Q158" s="51" t="n">
        <v>55.5031</v>
      </c>
      <c r="R158" s="51" t="n">
        <v>-21.2961</v>
      </c>
      <c r="S158" s="52">
        <f>IF($I158="Yes",$O158,"")</f>
        <v/>
      </c>
    </row>
    <row r="159">
      <c r="A159" s="43" t="inlineStr">
        <is>
          <t>DRO.AX</t>
        </is>
      </c>
      <c r="B159" s="44" t="inlineStr">
        <is>
          <t>DroneShield Limited</t>
        </is>
      </c>
      <c r="C159" s="44" t="inlineStr">
        <is>
          <t>AU</t>
        </is>
      </c>
      <c r="D159" s="44" t="inlineStr">
        <is>
          <t>ASX 200</t>
        </is>
      </c>
      <c r="E159" s="44" t="inlineStr">
        <is>
          <t>Industrials</t>
        </is>
      </c>
      <c r="F159" s="45" t="n">
        <v>1658742912</v>
      </c>
      <c r="G159" s="44" t="inlineStr">
        <is>
          <t>nightly refresh</t>
        </is>
      </c>
      <c r="H159" s="43" t="n">
        <v>176</v>
      </c>
      <c r="I159" s="44" t="inlineStr">
        <is>
          <t>No</t>
        </is>
      </c>
      <c r="J159" s="44" t="inlineStr">
        <is>
          <t>2016-06-22</t>
        </is>
      </c>
      <c r="K159" s="43" t="n">
        <v>2578</v>
      </c>
      <c r="L159" s="44" t="inlineStr">
        <is>
          <t>2016-06-22</t>
        </is>
      </c>
      <c r="M159" s="44" t="inlineStr">
        <is>
          <t>2026-08-26</t>
        </is>
      </c>
      <c r="N159" s="43" t="n">
        <v>81</v>
      </c>
      <c r="O159" s="46" t="n">
        <v>-47.2742</v>
      </c>
      <c r="P159" s="46" t="n">
        <v>-81.50539999999999</v>
      </c>
      <c r="Q159" s="46" t="n">
        <v>165.3249</v>
      </c>
      <c r="R159" s="46" t="n">
        <v>-74.1238</v>
      </c>
      <c r="S159" s="47">
        <f>IF($I159="Yes",$O159,"")</f>
        <v/>
      </c>
    </row>
    <row r="160">
      <c r="A160" s="48" t="inlineStr">
        <is>
          <t>EOS.AX</t>
        </is>
      </c>
      <c r="B160" s="49" t="inlineStr">
        <is>
          <t>Electro Optic Systems Holdings Limited</t>
        </is>
      </c>
      <c r="C160" s="49" t="inlineStr">
        <is>
          <t>AU</t>
        </is>
      </c>
      <c r="D160" s="49" t="inlineStr">
        <is>
          <t>ASX 200</t>
        </is>
      </c>
      <c r="E160" s="49" t="inlineStr">
        <is>
          <t>Industrials</t>
        </is>
      </c>
      <c r="F160" s="50" t="n">
        <v>2440940800</v>
      </c>
      <c r="G160" s="49" t="inlineStr">
        <is>
          <t>nightly refresh</t>
        </is>
      </c>
      <c r="H160" s="48" t="n">
        <v>151</v>
      </c>
      <c r="I160" s="49" t="inlineStr">
        <is>
          <t>No</t>
        </is>
      </c>
      <c r="J160" s="49" t="inlineStr">
        <is>
          <t>2000-10-23</t>
        </is>
      </c>
      <c r="K160" s="48" t="n">
        <v>6570</v>
      </c>
      <c r="L160" s="49" t="inlineStr">
        <is>
          <t>2000-10-23</t>
        </is>
      </c>
      <c r="M160" s="49" t="inlineStr">
        <is>
          <t>2026-08-26</t>
        </is>
      </c>
      <c r="N160" s="48" t="n">
        <v>268</v>
      </c>
      <c r="O160" s="51" t="n">
        <v>-38.5229</v>
      </c>
      <c r="P160" s="51" t="n">
        <v>-87.9845</v>
      </c>
      <c r="Q160" s="51" t="n">
        <v>174.1679</v>
      </c>
      <c r="R160" s="51" t="n">
        <v>-10.6518</v>
      </c>
      <c r="S160" s="52">
        <f>IF($I160="Yes",$O160,"")</f>
        <v/>
      </c>
    </row>
    <row r="161">
      <c r="A161" s="43" t="inlineStr">
        <is>
          <t>IFT.AX</t>
        </is>
      </c>
      <c r="B161" s="44" t="inlineStr">
        <is>
          <t>Infratil Limited</t>
        </is>
      </c>
      <c r="C161" s="44" t="inlineStr">
        <is>
          <t>AU</t>
        </is>
      </c>
      <c r="D161" s="44" t="inlineStr">
        <is>
          <t>ASX 200</t>
        </is>
      </c>
      <c r="E161" s="44" t="inlineStr">
        <is>
          <t>Industrials</t>
        </is>
      </c>
      <c r="F161" s="45" t="n">
        <v>11891817472</v>
      </c>
      <c r="G161" s="44" t="inlineStr">
        <is>
          <t>nightly refresh</t>
        </is>
      </c>
      <c r="H161" s="43" t="n">
        <v>53</v>
      </c>
      <c r="I161" s="44" t="inlineStr">
        <is>
          <t>Yes</t>
        </is>
      </c>
      <c r="J161" s="44" t="inlineStr">
        <is>
          <t>2011-05-24</t>
        </is>
      </c>
      <c r="K161" s="43" t="n">
        <v>3862</v>
      </c>
      <c r="L161" s="44" t="inlineStr">
        <is>
          <t>2011-05-24</t>
        </is>
      </c>
      <c r="M161" s="44" t="inlineStr">
        <is>
          <t>2026-08-26</t>
        </is>
      </c>
      <c r="N161" s="43" t="n">
        <v>101</v>
      </c>
      <c r="O161" s="46" t="n">
        <v>-11.8818</v>
      </c>
      <c r="P161" s="46" t="n">
        <v>-41.6667</v>
      </c>
      <c r="Q161" s="46" t="n">
        <v>38.4007</v>
      </c>
      <c r="R161" s="46" t="n">
        <v>-7.241</v>
      </c>
      <c r="S161" s="47">
        <f>IF($I161="Yes",$O161,"")</f>
        <v/>
      </c>
    </row>
    <row r="162">
      <c r="A162" s="48" t="inlineStr">
        <is>
          <t>IMD.AX</t>
        </is>
      </c>
      <c r="B162" s="49" t="inlineStr">
        <is>
          <t>Imdex Limited</t>
        </is>
      </c>
      <c r="C162" s="49" t="inlineStr">
        <is>
          <t>AU</t>
        </is>
      </c>
      <c r="D162" s="49" t="inlineStr">
        <is>
          <t>ASX 200</t>
        </is>
      </c>
      <c r="E162" s="49" t="inlineStr">
        <is>
          <t>Industrials</t>
        </is>
      </c>
      <c r="F162" s="50" t="n">
        <v>1826192768</v>
      </c>
      <c r="G162" s="49" t="inlineStr">
        <is>
          <t>nightly refresh</t>
        </is>
      </c>
      <c r="H162" s="48" t="n">
        <v>169</v>
      </c>
      <c r="I162" s="49" t="inlineStr">
        <is>
          <t>No</t>
        </is>
      </c>
      <c r="J162" s="49" t="inlineStr">
        <is>
          <t>1988-01-29</t>
        </is>
      </c>
      <c r="K162" s="48" t="n">
        <v>6780</v>
      </c>
      <c r="L162" s="49" t="inlineStr">
        <is>
          <t>2000-01-03</t>
        </is>
      </c>
      <c r="M162" s="49" t="inlineStr">
        <is>
          <t>2026-08-26</t>
        </is>
      </c>
      <c r="N162" s="48" t="n">
        <v>305</v>
      </c>
      <c r="O162" s="51" t="n">
        <v>-28.9267</v>
      </c>
      <c r="P162" s="51" t="n">
        <v>-90.01860000000001</v>
      </c>
      <c r="Q162" s="51" t="n">
        <v>98.8681</v>
      </c>
      <c r="R162" s="51" t="n">
        <v>-20.8127</v>
      </c>
      <c r="S162" s="52">
        <f>IF($I162="Yes",$O162,"")</f>
        <v/>
      </c>
    </row>
    <row r="163">
      <c r="A163" s="43" t="inlineStr">
        <is>
          <t>MND.AX</t>
        </is>
      </c>
      <c r="B163" s="44" t="inlineStr">
        <is>
          <t>Monadelphous Group Limited</t>
        </is>
      </c>
      <c r="C163" s="44" t="inlineStr">
        <is>
          <t>AU</t>
        </is>
      </c>
      <c r="D163" s="44" t="inlineStr">
        <is>
          <t>ASX 200</t>
        </is>
      </c>
      <c r="E163" s="44" t="inlineStr">
        <is>
          <t>Industrials</t>
        </is>
      </c>
      <c r="F163" s="45" t="n">
        <v>2925208064</v>
      </c>
      <c r="G163" s="44" t="inlineStr">
        <is>
          <t>nightly refresh</t>
        </is>
      </c>
      <c r="H163" s="43" t="n">
        <v>140</v>
      </c>
      <c r="I163" s="44" t="inlineStr">
        <is>
          <t>No</t>
        </is>
      </c>
      <c r="J163" s="44" t="inlineStr">
        <is>
          <t>1988-01-29</t>
        </is>
      </c>
      <c r="K163" s="43" t="n">
        <v>6780</v>
      </c>
      <c r="L163" s="44" t="inlineStr">
        <is>
          <t>2000-01-03</t>
        </is>
      </c>
      <c r="M163" s="44" t="inlineStr">
        <is>
          <t>2026-08-26</t>
        </is>
      </c>
      <c r="N163" s="43" t="n">
        <v>332</v>
      </c>
      <c r="O163" s="46" t="n">
        <v>-22.4345</v>
      </c>
      <c r="P163" s="46" t="n">
        <v>-65.2568</v>
      </c>
      <c r="Q163" s="46" t="n">
        <v>70.1947</v>
      </c>
      <c r="R163" s="46" t="n">
        <v>-20.5444</v>
      </c>
      <c r="S163" s="47">
        <f>IF($I163="Yes",$O163,"")</f>
        <v/>
      </c>
    </row>
    <row r="164">
      <c r="A164" s="48" t="inlineStr">
        <is>
          <t>NWH.AX</t>
        </is>
      </c>
      <c r="B164" s="49" t="inlineStr">
        <is>
          <t>NRW Holdings Limited</t>
        </is>
      </c>
      <c r="C164" s="49" t="inlineStr">
        <is>
          <t>AU</t>
        </is>
      </c>
      <c r="D164" s="49" t="inlineStr">
        <is>
          <t>ASX 200</t>
        </is>
      </c>
      <c r="E164" s="49" t="inlineStr">
        <is>
          <t>Industrials</t>
        </is>
      </c>
      <c r="F164" s="50" t="n">
        <v>3547084800</v>
      </c>
      <c r="G164" s="49" t="inlineStr">
        <is>
          <t>nightly refresh</t>
        </is>
      </c>
      <c r="H164" s="48" t="n">
        <v>127</v>
      </c>
      <c r="I164" s="49" t="inlineStr">
        <is>
          <t>No</t>
        </is>
      </c>
      <c r="J164" s="49" t="inlineStr">
        <is>
          <t>2007-09-05</t>
        </is>
      </c>
      <c r="K164" s="48" t="n">
        <v>4800</v>
      </c>
      <c r="L164" s="49" t="inlineStr">
        <is>
          <t>2007-09-05</t>
        </is>
      </c>
      <c r="M164" s="49" t="inlineStr">
        <is>
          <t>2026-08-26</t>
        </is>
      </c>
      <c r="N164" s="48" t="n">
        <v>228</v>
      </c>
      <c r="O164" s="51" t="n">
        <v>-32.1704</v>
      </c>
      <c r="P164" s="51" t="n">
        <v>-95.3151</v>
      </c>
      <c r="Q164" s="51" t="n">
        <v>180.5774</v>
      </c>
      <c r="R164" s="51" t="n">
        <v>-7.4733</v>
      </c>
      <c r="S164" s="52">
        <f>IF($I164="Yes",$O164,"")</f>
        <v/>
      </c>
    </row>
    <row r="165">
      <c r="A165" s="43" t="inlineStr">
        <is>
          <t>QAN.AX</t>
        </is>
      </c>
      <c r="B165" s="44" t="inlineStr">
        <is>
          <t>Qantas Airways Limited</t>
        </is>
      </c>
      <c r="C165" s="44" t="inlineStr">
        <is>
          <t>AU</t>
        </is>
      </c>
      <c r="D165" s="44" t="inlineStr">
        <is>
          <t>ASX 200</t>
        </is>
      </c>
      <c r="E165" s="44" t="inlineStr">
        <is>
          <t>Industrials</t>
        </is>
      </c>
      <c r="F165" s="45" t="n">
        <v>14617504768</v>
      </c>
      <c r="G165" s="44" t="inlineStr">
        <is>
          <t>nightly refresh</t>
        </is>
      </c>
      <c r="H165" s="43" t="n">
        <v>44</v>
      </c>
      <c r="I165" s="44" t="inlineStr">
        <is>
          <t>Yes</t>
        </is>
      </c>
      <c r="J165" s="44" t="inlineStr">
        <is>
          <t>1995-07-31</t>
        </is>
      </c>
      <c r="K165" s="43" t="n">
        <v>6780</v>
      </c>
      <c r="L165" s="44" t="inlineStr">
        <is>
          <t>2000-01-03</t>
        </is>
      </c>
      <c r="M165" s="44" t="inlineStr">
        <is>
          <t>2026-08-26</t>
        </is>
      </c>
      <c r="N165" s="43" t="n">
        <v>331</v>
      </c>
      <c r="O165" s="46" t="n">
        <v>-21.7236</v>
      </c>
      <c r="P165" s="46" t="n">
        <v>-71.3137</v>
      </c>
      <c r="Q165" s="46" t="n">
        <v>50.3258</v>
      </c>
      <c r="R165" s="46" t="n">
        <v>-20.0565</v>
      </c>
      <c r="S165" s="47">
        <f>IF($I165="Yes",$O165,"")</f>
        <v/>
      </c>
    </row>
    <row r="166">
      <c r="A166" s="48" t="inlineStr">
        <is>
          <t>REH.AX</t>
        </is>
      </c>
      <c r="B166" s="49" t="inlineStr">
        <is>
          <t>Reece Limited</t>
        </is>
      </c>
      <c r="C166" s="49" t="inlineStr">
        <is>
          <t>AU</t>
        </is>
      </c>
      <c r="D166" s="49" t="inlineStr">
        <is>
          <t>ASX 200</t>
        </is>
      </c>
      <c r="E166" s="49" t="inlineStr">
        <is>
          <t>Industrials</t>
        </is>
      </c>
      <c r="F166" s="50" t="n">
        <v>10290488320</v>
      </c>
      <c r="G166" s="49" t="inlineStr">
        <is>
          <t>nightly refresh</t>
        </is>
      </c>
      <c r="H166" s="48" t="n">
        <v>64</v>
      </c>
      <c r="I166" s="49" t="inlineStr">
        <is>
          <t>No</t>
        </is>
      </c>
      <c r="J166" s="49" t="inlineStr">
        <is>
          <t>1988-01-29</t>
        </is>
      </c>
      <c r="K166" s="48" t="n">
        <v>6780</v>
      </c>
      <c r="L166" s="49" t="inlineStr">
        <is>
          <t>2000-01-03</t>
        </is>
      </c>
      <c r="M166" s="49" t="inlineStr">
        <is>
          <t>2026-08-26</t>
        </is>
      </c>
      <c r="N166" s="48" t="n">
        <v>214</v>
      </c>
      <c r="O166" s="51" t="n">
        <v>-19.5345</v>
      </c>
      <c r="P166" s="51" t="n">
        <v>-64.9802</v>
      </c>
      <c r="Q166" s="51" t="n">
        <v>40.8451</v>
      </c>
      <c r="R166" s="51" t="n">
        <v>-4.6512</v>
      </c>
      <c r="S166" s="52">
        <f>IF($I166="Yes",$O166,"")</f>
        <v/>
      </c>
    </row>
    <row r="167">
      <c r="A167" s="43" t="inlineStr">
        <is>
          <t>RWC.AX</t>
        </is>
      </c>
      <c r="B167" s="44" t="inlineStr">
        <is>
          <t>Reliance Worldwide Corporation Limited</t>
        </is>
      </c>
      <c r="C167" s="44" t="inlineStr">
        <is>
          <t>AU</t>
        </is>
      </c>
      <c r="D167" s="44" t="inlineStr">
        <is>
          <t>ASX 200</t>
        </is>
      </c>
      <c r="E167" s="44" t="inlineStr">
        <is>
          <t>Industrials</t>
        </is>
      </c>
      <c r="F167" s="45" t="n">
        <v>3141762816</v>
      </c>
      <c r="G167" s="44" t="inlineStr">
        <is>
          <t>nightly refresh</t>
        </is>
      </c>
      <c r="H167" s="43" t="n">
        <v>133</v>
      </c>
      <c r="I167" s="44" t="inlineStr">
        <is>
          <t>No</t>
        </is>
      </c>
      <c r="J167" s="44" t="inlineStr">
        <is>
          <t>2016-04-29</t>
        </is>
      </c>
      <c r="K167" s="43" t="n">
        <v>2615</v>
      </c>
      <c r="L167" s="44" t="inlineStr">
        <is>
          <t>2016-04-29</t>
        </is>
      </c>
      <c r="M167" s="44" t="inlineStr">
        <is>
          <t>2026-08-26</t>
        </is>
      </c>
      <c r="N167" s="43" t="n">
        <v>129</v>
      </c>
      <c r="O167" s="46" t="n">
        <v>-24.0354</v>
      </c>
      <c r="P167" s="46" t="n">
        <v>-65.29730000000001</v>
      </c>
      <c r="Q167" s="46" t="n">
        <v>51.0048</v>
      </c>
      <c r="R167" s="46" t="n">
        <v>-8.1678</v>
      </c>
      <c r="S167" s="47">
        <f>IF($I167="Yes",$O167,"")</f>
        <v/>
      </c>
    </row>
    <row r="168">
      <c r="A168" s="48" t="inlineStr">
        <is>
          <t>SRG.AX</t>
        </is>
      </c>
      <c r="B168" s="49" t="inlineStr">
        <is>
          <t>SRG Global Limited</t>
        </is>
      </c>
      <c r="C168" s="49" t="inlineStr">
        <is>
          <t>AU</t>
        </is>
      </c>
      <c r="D168" s="49" t="inlineStr">
        <is>
          <t>ASX 200</t>
        </is>
      </c>
      <c r="E168" s="49" t="inlineStr">
        <is>
          <t>Industrials</t>
        </is>
      </c>
      <c r="F168" s="50" t="n">
        <v>2387316224</v>
      </c>
      <c r="G168" s="49" t="inlineStr">
        <is>
          <t>nightly refresh</t>
        </is>
      </c>
      <c r="H168" s="48" t="n">
        <v>152</v>
      </c>
      <c r="I168" s="49" t="inlineStr">
        <is>
          <t>No</t>
        </is>
      </c>
      <c r="J168" s="49" t="inlineStr">
        <is>
          <t>2007-08-17</t>
        </is>
      </c>
      <c r="K168" s="48" t="n">
        <v>4813</v>
      </c>
      <c r="L168" s="49" t="inlineStr">
        <is>
          <t>2007-08-17</t>
        </is>
      </c>
      <c r="M168" s="49" t="inlineStr">
        <is>
          <t>2026-08-26</t>
        </is>
      </c>
      <c r="N168" s="48" t="n">
        <v>163</v>
      </c>
      <c r="O168" s="51" t="n">
        <v>-25.2876</v>
      </c>
      <c r="P168" s="51" t="n">
        <v>-75.01779999999999</v>
      </c>
      <c r="Q168" s="51" t="n">
        <v>74.8848</v>
      </c>
      <c r="R168" s="51" t="n">
        <v>-7.6555</v>
      </c>
      <c r="S168" s="52">
        <f>IF($I168="Yes",$O168,"")</f>
        <v/>
      </c>
    </row>
    <row r="169">
      <c r="A169" s="43" t="inlineStr">
        <is>
          <t>TCL.AX</t>
        </is>
      </c>
      <c r="B169" s="44" t="inlineStr">
        <is>
          <t>Transurban Group</t>
        </is>
      </c>
      <c r="C169" s="44" t="inlineStr">
        <is>
          <t>AU</t>
        </is>
      </c>
      <c r="D169" s="44" t="inlineStr">
        <is>
          <t>ASX 200</t>
        </is>
      </c>
      <c r="E169" s="44" t="inlineStr">
        <is>
          <t>Industrials</t>
        </is>
      </c>
      <c r="F169" s="45" t="n">
        <v>43370553344</v>
      </c>
      <c r="G169" s="44" t="inlineStr">
        <is>
          <t>nightly refresh</t>
        </is>
      </c>
      <c r="H169" s="43" t="n">
        <v>18</v>
      </c>
      <c r="I169" s="44" t="inlineStr">
        <is>
          <t>Yes</t>
        </is>
      </c>
      <c r="J169" s="44" t="inlineStr">
        <is>
          <t>1996-03-29</t>
        </is>
      </c>
      <c r="K169" s="43" t="n">
        <v>6780</v>
      </c>
      <c r="L169" s="44" t="inlineStr">
        <is>
          <t>2000-01-03</t>
        </is>
      </c>
      <c r="M169" s="44" t="inlineStr">
        <is>
          <t>2026-08-26</t>
        </is>
      </c>
      <c r="N169" s="43" t="n">
        <v>271</v>
      </c>
      <c r="O169" s="46" t="n">
        <v>-13.339</v>
      </c>
      <c r="P169" s="46" t="n">
        <v>-45.5178</v>
      </c>
      <c r="Q169" s="46" t="n">
        <v>31.4621</v>
      </c>
      <c r="R169" s="46" t="n">
        <v>-9.0717</v>
      </c>
      <c r="S169" s="47">
        <f>IF($I169="Yes",$O169,"")</f>
        <v/>
      </c>
    </row>
    <row r="170">
      <c r="A170" s="48" t="inlineStr">
        <is>
          <t>VNT.AX</t>
        </is>
      </c>
      <c r="B170" s="49" t="inlineStr">
        <is>
          <t>Ventia Services Group Limited</t>
        </is>
      </c>
      <c r="C170" s="49" t="inlineStr">
        <is>
          <t>AU</t>
        </is>
      </c>
      <c r="D170" s="49" t="inlineStr">
        <is>
          <t>ASX 200</t>
        </is>
      </c>
      <c r="E170" s="49" t="inlineStr">
        <is>
          <t>Industrials</t>
        </is>
      </c>
      <c r="F170" s="50" t="n">
        <v>4432608256</v>
      </c>
      <c r="G170" s="49" t="inlineStr">
        <is>
          <t>nightly refresh</t>
        </is>
      </c>
      <c r="H170" s="48" t="n">
        <v>117</v>
      </c>
      <c r="I170" s="49" t="inlineStr">
        <is>
          <t>No</t>
        </is>
      </c>
      <c r="J170" s="49" t="inlineStr">
        <is>
          <t>2021-11-19</t>
        </is>
      </c>
      <c r="K170" s="48" t="n">
        <v>1204</v>
      </c>
      <c r="L170" s="49" t="inlineStr">
        <is>
          <t>2021-11-19</t>
        </is>
      </c>
      <c r="M170" s="49" t="inlineStr">
        <is>
          <t>2026-08-26</t>
        </is>
      </c>
      <c r="N170" s="48" t="n">
        <v>46</v>
      </c>
      <c r="O170" s="51" t="n">
        <v>-14.4787</v>
      </c>
      <c r="P170" s="51" t="n">
        <v>-29.8947</v>
      </c>
      <c r="Q170" s="51" t="n">
        <v>50.8791</v>
      </c>
      <c r="R170" s="51" t="n">
        <v>-16.8869</v>
      </c>
      <c r="S170" s="52">
        <f>IF($I170="Yes",$O170,"")</f>
        <v/>
      </c>
    </row>
    <row r="171">
      <c r="A171" s="43" t="inlineStr">
        <is>
          <t>ARF.AX</t>
        </is>
      </c>
      <c r="B171" s="44" t="inlineStr">
        <is>
          <t>Arena REIT</t>
        </is>
      </c>
      <c r="C171" s="44" t="inlineStr">
        <is>
          <t>AU</t>
        </is>
      </c>
      <c r="D171" s="44" t="inlineStr">
        <is>
          <t>ASX 200</t>
        </is>
      </c>
      <c r="E171" s="44" t="inlineStr">
        <is>
          <t>Real Estate</t>
        </is>
      </c>
      <c r="F171" s="45" t="n">
        <v>955413952</v>
      </c>
      <c r="G171" s="44" t="inlineStr">
        <is>
          <t>nightly refresh</t>
        </is>
      </c>
      <c r="H171" s="43" t="n">
        <v>201</v>
      </c>
      <c r="I171" s="44" t="inlineStr">
        <is>
          <t>No</t>
        </is>
      </c>
      <c r="J171" s="44" t="inlineStr">
        <is>
          <t>2013-07-01</t>
        </is>
      </c>
      <c r="K171" s="43" t="n">
        <v>3333</v>
      </c>
      <c r="L171" s="44" t="inlineStr">
        <is>
          <t>2013-07-01</t>
        </is>
      </c>
      <c r="M171" s="44" t="inlineStr">
        <is>
          <t>2026-08-26</t>
        </is>
      </c>
      <c r="N171" s="43" t="n">
        <v>131</v>
      </c>
      <c r="O171" s="46" t="n">
        <v>-14.9053</v>
      </c>
      <c r="P171" s="46" t="n">
        <v>-58.5294</v>
      </c>
      <c r="Q171" s="46" t="n">
        <v>41.7676</v>
      </c>
      <c r="R171" s="46" t="n">
        <v>-39.5418</v>
      </c>
      <c r="S171" s="47">
        <f>IF($I171="Yes",$O171,"")</f>
        <v/>
      </c>
    </row>
    <row r="172">
      <c r="A172" s="48" t="inlineStr">
        <is>
          <t>BWP.AX</t>
        </is>
      </c>
      <c r="B172" s="49" t="inlineStr">
        <is>
          <t>BWP Trust</t>
        </is>
      </c>
      <c r="C172" s="49" t="inlineStr">
        <is>
          <t>AU</t>
        </is>
      </c>
      <c r="D172" s="49" t="inlineStr">
        <is>
          <t>ASX 200</t>
        </is>
      </c>
      <c r="E172" s="49" t="inlineStr">
        <is>
          <t>Real Estate</t>
        </is>
      </c>
      <c r="F172" s="50" t="n">
        <v>2675897600</v>
      </c>
      <c r="G172" s="49" t="inlineStr">
        <is>
          <t>nightly refresh</t>
        </is>
      </c>
      <c r="H172" s="48" t="n">
        <v>142</v>
      </c>
      <c r="I172" s="49" t="inlineStr">
        <is>
          <t>No</t>
        </is>
      </c>
      <c r="J172" s="49" t="inlineStr">
        <is>
          <t>1998-09-30</t>
        </is>
      </c>
      <c r="K172" s="48" t="n">
        <v>6780</v>
      </c>
      <c r="L172" s="49" t="inlineStr">
        <is>
          <t>2000-01-03</t>
        </is>
      </c>
      <c r="M172" s="49" t="inlineStr">
        <is>
          <t>2026-08-26</t>
        </is>
      </c>
      <c r="N172" s="48" t="n">
        <v>225</v>
      </c>
      <c r="O172" s="51" t="n">
        <v>-12.367</v>
      </c>
      <c r="P172" s="51" t="n">
        <v>-41.3866</v>
      </c>
      <c r="Q172" s="51" t="n">
        <v>24.6494</v>
      </c>
      <c r="R172" s="51" t="n">
        <v>-8.188599999999999</v>
      </c>
      <c r="S172" s="52">
        <f>IF($I172="Yes",$O172,"")</f>
        <v/>
      </c>
    </row>
    <row r="173">
      <c r="A173" s="43" t="inlineStr">
        <is>
          <t>CHC.AX</t>
        </is>
      </c>
      <c r="B173" s="44" t="inlineStr">
        <is>
          <t>Charter Hall Group</t>
        </is>
      </c>
      <c r="C173" s="44" t="inlineStr">
        <is>
          <t>AU</t>
        </is>
      </c>
      <c r="D173" s="44" t="inlineStr">
        <is>
          <t>ASX 200</t>
        </is>
      </c>
      <c r="E173" s="44" t="inlineStr">
        <is>
          <t>Real Estate</t>
        </is>
      </c>
      <c r="F173" s="45" t="n">
        <v>9384264704</v>
      </c>
      <c r="G173" s="44" t="inlineStr">
        <is>
          <t>nightly refresh</t>
        </is>
      </c>
      <c r="H173" s="43" t="n">
        <v>71</v>
      </c>
      <c r="I173" s="44" t="inlineStr">
        <is>
          <t>No</t>
        </is>
      </c>
      <c r="J173" s="44" t="inlineStr">
        <is>
          <t>2005-06-09</t>
        </is>
      </c>
      <c r="K173" s="43" t="n">
        <v>5367</v>
      </c>
      <c r="L173" s="44" t="inlineStr">
        <is>
          <t>2005-06-09</t>
        </is>
      </c>
      <c r="M173" s="44" t="inlineStr">
        <is>
          <t>2026-08-26</t>
        </is>
      </c>
      <c r="N173" s="43" t="n">
        <v>240</v>
      </c>
      <c r="O173" s="46" t="n">
        <v>-21.4584</v>
      </c>
      <c r="P173" s="46" t="n">
        <v>-90.3999</v>
      </c>
      <c r="Q173" s="46" t="n">
        <v>70.1738</v>
      </c>
      <c r="R173" s="46" t="n">
        <v>-19.7758</v>
      </c>
      <c r="S173" s="47">
        <f>IF($I173="Yes",$O173,"")</f>
        <v/>
      </c>
    </row>
    <row r="174">
      <c r="A174" s="48" t="inlineStr">
        <is>
          <t>CIP.AX</t>
        </is>
      </c>
      <c r="B174" s="49" t="inlineStr">
        <is>
          <t>Centuria Industrial REIT</t>
        </is>
      </c>
      <c r="C174" s="49" t="inlineStr">
        <is>
          <t>AU</t>
        </is>
      </c>
      <c r="D174" s="49" t="inlineStr">
        <is>
          <t>ASX 200</t>
        </is>
      </c>
      <c r="E174" s="49" t="inlineStr">
        <is>
          <t>Real Estate</t>
        </is>
      </c>
      <c r="F174" s="50" t="n">
        <v>1810725504</v>
      </c>
      <c r="G174" s="49" t="inlineStr">
        <is>
          <t>nightly refresh</t>
        </is>
      </c>
      <c r="H174" s="48" t="n">
        <v>171</v>
      </c>
      <c r="I174" s="49" t="inlineStr">
        <is>
          <t>No</t>
        </is>
      </c>
      <c r="J174" s="49" t="inlineStr">
        <is>
          <t>2012-12-13</t>
        </is>
      </c>
      <c r="K174" s="48" t="n">
        <v>3467</v>
      </c>
      <c r="L174" s="49" t="inlineStr">
        <is>
          <t>2012-12-13</t>
        </is>
      </c>
      <c r="M174" s="49" t="inlineStr">
        <is>
          <t>2026-08-26</t>
        </is>
      </c>
      <c r="N174" s="48" t="n">
        <v>119</v>
      </c>
      <c r="O174" s="51" t="n">
        <v>-13.7794</v>
      </c>
      <c r="P174" s="51" t="n">
        <v>-36.5897</v>
      </c>
      <c r="Q174" s="51" t="n">
        <v>28.9189</v>
      </c>
      <c r="R174" s="51" t="n">
        <v>-16.143</v>
      </c>
      <c r="S174" s="52">
        <f>IF($I174="Yes",$O174,"")</f>
        <v/>
      </c>
    </row>
    <row r="175">
      <c r="A175" s="43" t="inlineStr">
        <is>
          <t>CLW.AX</t>
        </is>
      </c>
      <c r="B175" s="44" t="inlineStr">
        <is>
          <t>Charter Hall Long WALE REIT</t>
        </is>
      </c>
      <c r="C175" s="44" t="inlineStr">
        <is>
          <t>AU</t>
        </is>
      </c>
      <c r="D175" s="44" t="inlineStr">
        <is>
          <t>ASX 200</t>
        </is>
      </c>
      <c r="E175" s="44" t="inlineStr">
        <is>
          <t>Real Estate</t>
        </is>
      </c>
      <c r="F175" s="45" t="n">
        <v>2535470592</v>
      </c>
      <c r="G175" s="44" t="inlineStr">
        <is>
          <t>nightly refresh</t>
        </is>
      </c>
      <c r="H175" s="43" t="n">
        <v>147</v>
      </c>
      <c r="I175" s="44" t="inlineStr">
        <is>
          <t>No</t>
        </is>
      </c>
      <c r="J175" s="44" t="inlineStr">
        <is>
          <t>2016-11-08</t>
        </is>
      </c>
      <c r="K175" s="43" t="n">
        <v>2479</v>
      </c>
      <c r="L175" s="44" t="inlineStr">
        <is>
          <t>2016-11-08</t>
        </is>
      </c>
      <c r="M175" s="44" t="inlineStr">
        <is>
          <t>2026-08-26</t>
        </is>
      </c>
      <c r="N175" s="43" t="n">
        <v>94</v>
      </c>
      <c r="O175" s="46" t="n">
        <v>-14.8162</v>
      </c>
      <c r="P175" s="46" t="n">
        <v>-40.871</v>
      </c>
      <c r="Q175" s="46" t="n">
        <v>26.2207</v>
      </c>
      <c r="R175" s="46" t="n">
        <v>-20.4848</v>
      </c>
      <c r="S175" s="47">
        <f>IF($I175="Yes",$O175,"")</f>
        <v/>
      </c>
    </row>
    <row r="176">
      <c r="A176" s="48" t="inlineStr">
        <is>
          <t>CNI.AX</t>
        </is>
      </c>
      <c r="B176" s="49" t="inlineStr">
        <is>
          <t>Centuria Capital Group</t>
        </is>
      </c>
      <c r="C176" s="49" t="inlineStr">
        <is>
          <t>AU</t>
        </is>
      </c>
      <c r="D176" s="49" t="inlineStr">
        <is>
          <t>ASX 200</t>
        </is>
      </c>
      <c r="E176" s="49" t="inlineStr">
        <is>
          <t>Real Estate</t>
        </is>
      </c>
      <c r="F176" s="50" t="n">
        <v>1191658880</v>
      </c>
      <c r="G176" s="49" t="inlineStr">
        <is>
          <t>nightly refresh</t>
        </is>
      </c>
      <c r="H176" s="48" t="n">
        <v>195</v>
      </c>
      <c r="I176" s="49" t="inlineStr">
        <is>
          <t>No</t>
        </is>
      </c>
      <c r="J176" s="49" t="inlineStr">
        <is>
          <t>2002-03-26</t>
        </is>
      </c>
      <c r="K176" s="48" t="n">
        <v>6199</v>
      </c>
      <c r="L176" s="49" t="inlineStr">
        <is>
          <t>2002-03-26</t>
        </is>
      </c>
      <c r="M176" s="49" t="inlineStr">
        <is>
          <t>2026-08-26</t>
        </is>
      </c>
      <c r="N176" s="48" t="n">
        <v>204</v>
      </c>
      <c r="O176" s="51" t="n">
        <v>-23.177</v>
      </c>
      <c r="P176" s="51" t="n">
        <v>-81.761</v>
      </c>
      <c r="Q176" s="51" t="n">
        <v>44.542</v>
      </c>
      <c r="R176" s="51" t="n">
        <v>-44.9818</v>
      </c>
      <c r="S176" s="52">
        <f>IF($I176="Yes",$O176,"")</f>
        <v/>
      </c>
    </row>
    <row r="177">
      <c r="A177" s="43" t="inlineStr">
        <is>
          <t>CQR.AX</t>
        </is>
      </c>
      <c r="B177" s="44" t="inlineStr">
        <is>
          <t>Charter Hall Retail REIT</t>
        </is>
      </c>
      <c r="C177" s="44" t="inlineStr">
        <is>
          <t>AU</t>
        </is>
      </c>
      <c r="D177" s="44" t="inlineStr">
        <is>
          <t>ASX 200</t>
        </is>
      </c>
      <c r="E177" s="44" t="inlineStr">
        <is>
          <t>Real Estate</t>
        </is>
      </c>
      <c r="F177" s="45" t="n">
        <v>2295857152</v>
      </c>
      <c r="G177" s="44" t="inlineStr">
        <is>
          <t>nightly refresh</t>
        </is>
      </c>
      <c r="H177" s="43" t="n">
        <v>156</v>
      </c>
      <c r="I177" s="44" t="inlineStr">
        <is>
          <t>No</t>
        </is>
      </c>
      <c r="J177" s="44" t="inlineStr">
        <is>
          <t>1996-11-29</t>
        </is>
      </c>
      <c r="K177" s="43" t="n">
        <v>6780</v>
      </c>
      <c r="L177" s="44" t="inlineStr">
        <is>
          <t>2000-01-03</t>
        </is>
      </c>
      <c r="M177" s="44" t="inlineStr">
        <is>
          <t>2026-08-26</t>
        </is>
      </c>
      <c r="N177" s="43" t="n">
        <v>231</v>
      </c>
      <c r="O177" s="46" t="n">
        <v>-16.4634</v>
      </c>
      <c r="P177" s="46" t="n">
        <v>-90.9419</v>
      </c>
      <c r="Q177" s="46" t="n">
        <v>36.5626</v>
      </c>
      <c r="R177" s="46" t="n">
        <v>-6.3679</v>
      </c>
      <c r="S177" s="47">
        <f>IF($I177="Yes",$O177,"")</f>
        <v/>
      </c>
    </row>
    <row r="178">
      <c r="A178" s="48" t="inlineStr">
        <is>
          <t>DXS.AX</t>
        </is>
      </c>
      <c r="B178" s="49" t="inlineStr">
        <is>
          <t>DEXUS</t>
        </is>
      </c>
      <c r="C178" s="49" t="inlineStr">
        <is>
          <t>AU</t>
        </is>
      </c>
      <c r="D178" s="49" t="inlineStr">
        <is>
          <t>ASX 200</t>
        </is>
      </c>
      <c r="E178" s="49" t="inlineStr">
        <is>
          <t>Real Estate</t>
        </is>
      </c>
      <c r="F178" s="50" t="n">
        <v>6199569920</v>
      </c>
      <c r="G178" s="49" t="inlineStr">
        <is>
          <t>nightly refresh</t>
        </is>
      </c>
      <c r="H178" s="48" t="n">
        <v>95</v>
      </c>
      <c r="I178" s="49" t="inlineStr">
        <is>
          <t>No</t>
        </is>
      </c>
      <c r="J178" s="49" t="inlineStr">
        <is>
          <t>2004-10-06</t>
        </is>
      </c>
      <c r="K178" s="48" t="n">
        <v>5538</v>
      </c>
      <c r="L178" s="49" t="inlineStr">
        <is>
          <t>2004-10-06</t>
        </is>
      </c>
      <c r="M178" s="49" t="inlineStr">
        <is>
          <t>2026-08-26</t>
        </is>
      </c>
      <c r="N178" s="48" t="n">
        <v>247</v>
      </c>
      <c r="O178" s="51" t="n">
        <v>-17.2666</v>
      </c>
      <c r="P178" s="51" t="n">
        <v>-64.6181</v>
      </c>
      <c r="Q178" s="51" t="n">
        <v>27.409</v>
      </c>
      <c r="R178" s="51" t="n">
        <v>-22.6081</v>
      </c>
      <c r="S178" s="52">
        <f>IF($I178="Yes",$O178,"")</f>
        <v/>
      </c>
    </row>
    <row r="179">
      <c r="A179" s="43" t="inlineStr">
        <is>
          <t>GMG.AX</t>
        </is>
      </c>
      <c r="B179" s="44" t="inlineStr">
        <is>
          <t>Goodman Group</t>
        </is>
      </c>
      <c r="C179" s="44" t="inlineStr">
        <is>
          <t>AU</t>
        </is>
      </c>
      <c r="D179" s="44" t="inlineStr">
        <is>
          <t>ASX 200</t>
        </is>
      </c>
      <c r="E179" s="44" t="inlineStr">
        <is>
          <t>Real Estate</t>
        </is>
      </c>
      <c r="F179" s="45" t="n">
        <v>57295101952</v>
      </c>
      <c r="G179" s="44" t="inlineStr">
        <is>
          <t>nightly refresh</t>
        </is>
      </c>
      <c r="H179" s="43" t="n">
        <v>13</v>
      </c>
      <c r="I179" s="44" t="inlineStr">
        <is>
          <t>Yes</t>
        </is>
      </c>
      <c r="J179" s="44" t="inlineStr">
        <is>
          <t>2005-02-02</t>
        </is>
      </c>
      <c r="K179" s="43" t="n">
        <v>5455</v>
      </c>
      <c r="L179" s="44" t="inlineStr">
        <is>
          <t>2005-02-02</t>
        </is>
      </c>
      <c r="M179" s="44" t="inlineStr">
        <is>
          <t>2026-08-26</t>
        </is>
      </c>
      <c r="N179" s="43" t="n">
        <v>243</v>
      </c>
      <c r="O179" s="46" t="n">
        <v>-18.5917</v>
      </c>
      <c r="P179" s="46" t="n">
        <v>-95.9513</v>
      </c>
      <c r="Q179" s="46" t="n">
        <v>54.6976</v>
      </c>
      <c r="R179" s="46" t="n">
        <v>-18.8443</v>
      </c>
      <c r="S179" s="47">
        <f>IF($I179="Yes",$O179,"")</f>
        <v/>
      </c>
    </row>
    <row r="180">
      <c r="A180" s="48" t="inlineStr">
        <is>
          <t>GPT.AX</t>
        </is>
      </c>
      <c r="B180" s="49" t="inlineStr">
        <is>
          <t>The GPT Group</t>
        </is>
      </c>
      <c r="C180" s="49" t="inlineStr">
        <is>
          <t>AU</t>
        </is>
      </c>
      <c r="D180" s="49" t="inlineStr">
        <is>
          <t>ASX 200</t>
        </is>
      </c>
      <c r="E180" s="49" t="inlineStr">
        <is>
          <t>Real Estate</t>
        </is>
      </c>
      <c r="F180" s="50" t="n">
        <v>8907435008</v>
      </c>
      <c r="G180" s="49" t="inlineStr">
        <is>
          <t>nightly refresh</t>
        </is>
      </c>
      <c r="H180" s="48" t="n">
        <v>74</v>
      </c>
      <c r="I180" s="49" t="inlineStr">
        <is>
          <t>No</t>
        </is>
      </c>
      <c r="J180" s="49" t="inlineStr">
        <is>
          <t>1988-01-29</t>
        </is>
      </c>
      <c r="K180" s="48" t="n">
        <v>6780</v>
      </c>
      <c r="L180" s="49" t="inlineStr">
        <is>
          <t>2000-01-03</t>
        </is>
      </c>
      <c r="M180" s="49" t="inlineStr">
        <is>
          <t>2026-08-26</t>
        </is>
      </c>
      <c r="N180" s="48" t="n">
        <v>261</v>
      </c>
      <c r="O180" s="51" t="n">
        <v>-19.178</v>
      </c>
      <c r="P180" s="51" t="n">
        <v>-89.7865</v>
      </c>
      <c r="Q180" s="51" t="n">
        <v>36.6671</v>
      </c>
      <c r="R180" s="51" t="n">
        <v>-16.4578</v>
      </c>
      <c r="S180" s="52">
        <f>IF($I180="Yes",$O180,"")</f>
        <v/>
      </c>
    </row>
    <row r="181">
      <c r="A181" s="43" t="inlineStr">
        <is>
          <t>HDN.AX</t>
        </is>
      </c>
      <c r="B181" s="44" t="inlineStr">
        <is>
          <t>HomeCo Daily Needs REIT</t>
        </is>
      </c>
      <c r="C181" s="44" t="inlineStr">
        <is>
          <t>AU</t>
        </is>
      </c>
      <c r="D181" s="44" t="inlineStr">
        <is>
          <t>ASX 200</t>
        </is>
      </c>
      <c r="E181" s="44" t="inlineStr">
        <is>
          <t>Real Estate</t>
        </is>
      </c>
      <c r="F181" s="45" t="n">
        <v>2322369536</v>
      </c>
      <c r="G181" s="44" t="inlineStr">
        <is>
          <t>nightly refresh</t>
        </is>
      </c>
      <c r="H181" s="43" t="n">
        <v>155</v>
      </c>
      <c r="I181" s="44" t="inlineStr">
        <is>
          <t>No</t>
        </is>
      </c>
      <c r="J181" s="44" t="inlineStr">
        <is>
          <t>2020-11-23</t>
        </is>
      </c>
      <c r="K181" s="43" t="n">
        <v>1456</v>
      </c>
      <c r="L181" s="44" t="inlineStr">
        <is>
          <t>2020-11-23</t>
        </is>
      </c>
      <c r="M181" s="44" t="inlineStr">
        <is>
          <t>2026-08-26</t>
        </is>
      </c>
      <c r="N181" s="43" t="n">
        <v>60</v>
      </c>
      <c r="O181" s="46" t="n">
        <v>-13.5142</v>
      </c>
      <c r="P181" s="46" t="n">
        <v>-28.2485</v>
      </c>
      <c r="Q181" s="46" t="n">
        <v>23.3126</v>
      </c>
      <c r="R181" s="46" t="n">
        <v>-18.1299</v>
      </c>
      <c r="S181" s="47">
        <f>IF($I181="Yes",$O181,"")</f>
        <v/>
      </c>
    </row>
    <row r="182">
      <c r="A182" s="48" t="inlineStr">
        <is>
          <t>INA.AX</t>
        </is>
      </c>
      <c r="B182" s="49" t="inlineStr">
        <is>
          <t>Ingenia Communities Group</t>
        </is>
      </c>
      <c r="C182" s="49" t="inlineStr">
        <is>
          <t>AU</t>
        </is>
      </c>
      <c r="D182" s="49" t="inlineStr">
        <is>
          <t>ASX 200</t>
        </is>
      </c>
      <c r="E182" s="49" t="inlineStr">
        <is>
          <t>Real Estate</t>
        </is>
      </c>
      <c r="F182" s="50" t="n">
        <v>1569195520</v>
      </c>
      <c r="G182" s="49" t="inlineStr">
        <is>
          <t>nightly refresh</t>
        </is>
      </c>
      <c r="H182" s="48" t="n">
        <v>180</v>
      </c>
      <c r="I182" s="49" t="inlineStr">
        <is>
          <t>No</t>
        </is>
      </c>
      <c r="J182" s="49" t="inlineStr">
        <is>
          <t>2012-06-13</t>
        </is>
      </c>
      <c r="K182" s="48" t="n">
        <v>3598</v>
      </c>
      <c r="L182" s="49" t="inlineStr">
        <is>
          <t>2012-06-13</t>
        </is>
      </c>
      <c r="M182" s="49" t="inlineStr">
        <is>
          <t>2026-08-26</t>
        </is>
      </c>
      <c r="N182" s="48" t="n">
        <v>140</v>
      </c>
      <c r="O182" s="51" t="n">
        <v>-16.0013</v>
      </c>
      <c r="P182" s="51" t="n">
        <v>-48.6036</v>
      </c>
      <c r="Q182" s="51" t="n">
        <v>41.7609</v>
      </c>
      <c r="R182" s="51" t="n">
        <v>-33.9034</v>
      </c>
      <c r="S182" s="52">
        <f>IF($I182="Yes",$O182,"")</f>
        <v/>
      </c>
    </row>
    <row r="183">
      <c r="A183" s="43" t="inlineStr">
        <is>
          <t>LLC.AX</t>
        </is>
      </c>
      <c r="B183" s="44" t="inlineStr">
        <is>
          <t>Lendlease Group</t>
        </is>
      </c>
      <c r="C183" s="44" t="inlineStr">
        <is>
          <t>AU</t>
        </is>
      </c>
      <c r="D183" s="44" t="inlineStr">
        <is>
          <t>ASX 200</t>
        </is>
      </c>
      <c r="E183" s="44" t="inlineStr">
        <is>
          <t>Real Estate</t>
        </is>
      </c>
      <c r="F183" s="45" t="n">
        <v>1975948800</v>
      </c>
      <c r="G183" s="44" t="inlineStr">
        <is>
          <t>nightly refresh</t>
        </is>
      </c>
      <c r="H183" s="43" t="n">
        <v>163</v>
      </c>
      <c r="I183" s="44" t="inlineStr">
        <is>
          <t>No</t>
        </is>
      </c>
      <c r="J183" s="44" t="inlineStr">
        <is>
          <t>1988-01-29</t>
        </is>
      </c>
      <c r="K183" s="43" t="n">
        <v>6780</v>
      </c>
      <c r="L183" s="44" t="inlineStr">
        <is>
          <t>2000-01-03</t>
        </is>
      </c>
      <c r="M183" s="44" t="inlineStr">
        <is>
          <t>2026-08-26</t>
        </is>
      </c>
      <c r="N183" s="43" t="n">
        <v>351</v>
      </c>
      <c r="O183" s="46" t="n">
        <v>-23.4224</v>
      </c>
      <c r="P183" s="46" t="n">
        <v>-65.8781</v>
      </c>
      <c r="Q183" s="46" t="n">
        <v>31.6753</v>
      </c>
      <c r="R183" s="46" t="n">
        <v>-50.3636</v>
      </c>
      <c r="S183" s="47">
        <f>IF($I183="Yes",$O183,"")</f>
        <v/>
      </c>
    </row>
    <row r="184">
      <c r="A184" s="48" t="inlineStr">
        <is>
          <t>MGR.AX</t>
        </is>
      </c>
      <c r="B184" s="49" t="inlineStr">
        <is>
          <t>Mirvac Group</t>
        </is>
      </c>
      <c r="C184" s="49" t="inlineStr">
        <is>
          <t>AU</t>
        </is>
      </c>
      <c r="D184" s="49" t="inlineStr">
        <is>
          <t>ASX 200</t>
        </is>
      </c>
      <c r="E184" s="49" t="inlineStr">
        <is>
          <t>Real Estate</t>
        </is>
      </c>
      <c r="F184" s="50" t="n">
        <v>7180009472</v>
      </c>
      <c r="G184" s="49" t="inlineStr">
        <is>
          <t>nightly refresh</t>
        </is>
      </c>
      <c r="H184" s="48" t="n">
        <v>82</v>
      </c>
      <c r="I184" s="49" t="inlineStr">
        <is>
          <t>No</t>
        </is>
      </c>
      <c r="J184" s="49" t="inlineStr">
        <is>
          <t>1992-07-31</t>
        </is>
      </c>
      <c r="K184" s="48" t="n">
        <v>6780</v>
      </c>
      <c r="L184" s="49" t="inlineStr">
        <is>
          <t>2000-01-03</t>
        </is>
      </c>
      <c r="M184" s="49" t="inlineStr">
        <is>
          <t>2026-08-26</t>
        </is>
      </c>
      <c r="N184" s="48" t="n">
        <v>277</v>
      </c>
      <c r="O184" s="51" t="n">
        <v>-19.9707</v>
      </c>
      <c r="P184" s="51" t="n">
        <v>-84.3952</v>
      </c>
      <c r="Q184" s="51" t="n">
        <v>37.6539</v>
      </c>
      <c r="R184" s="51" t="n">
        <v>-23.0496</v>
      </c>
      <c r="S184" s="52">
        <f>IF($I184="Yes",$O184,"")</f>
        <v/>
      </c>
    </row>
    <row r="185">
      <c r="A185" s="43" t="inlineStr">
        <is>
          <t>RGN.AX</t>
        </is>
      </c>
      <c r="B185" s="44" t="inlineStr">
        <is>
          <t>Region Group</t>
        </is>
      </c>
      <c r="C185" s="44" t="inlineStr">
        <is>
          <t>AU</t>
        </is>
      </c>
      <c r="D185" s="44" t="inlineStr">
        <is>
          <t>ASX 200</t>
        </is>
      </c>
      <c r="E185" s="44" t="inlineStr">
        <is>
          <t>Real Estate</t>
        </is>
      </c>
      <c r="F185" s="45" t="n">
        <v>2561695232</v>
      </c>
      <c r="G185" s="44" t="inlineStr">
        <is>
          <t>nightly refresh</t>
        </is>
      </c>
      <c r="H185" s="43" t="n">
        <v>146</v>
      </c>
      <c r="I185" s="44" t="inlineStr">
        <is>
          <t>No</t>
        </is>
      </c>
      <c r="J185" s="44" t="inlineStr">
        <is>
          <t>2012-11-23</t>
        </is>
      </c>
      <c r="K185" s="43" t="n">
        <v>3481</v>
      </c>
      <c r="L185" s="44" t="inlineStr">
        <is>
          <t>2012-11-23</t>
        </is>
      </c>
      <c r="M185" s="44" t="inlineStr">
        <is>
          <t>2026-08-26</t>
        </is>
      </c>
      <c r="N185" s="43" t="n">
        <v>117</v>
      </c>
      <c r="O185" s="46" t="n">
        <v>-13.1906</v>
      </c>
      <c r="P185" s="46" t="n">
        <v>-35.6358</v>
      </c>
      <c r="Q185" s="46" t="n">
        <v>24.023</v>
      </c>
      <c r="R185" s="46" t="n">
        <v>-8.1633</v>
      </c>
      <c r="S185" s="47">
        <f>IF($I185="Yes",$O185,"")</f>
        <v/>
      </c>
    </row>
    <row r="186">
      <c r="A186" s="48" t="inlineStr">
        <is>
          <t>SCG.AX</t>
        </is>
      </c>
      <c r="B186" s="49" t="inlineStr">
        <is>
          <t>Scentre Group</t>
        </is>
      </c>
      <c r="C186" s="49" t="inlineStr">
        <is>
          <t>AU</t>
        </is>
      </c>
      <c r="D186" s="49" t="inlineStr">
        <is>
          <t>ASX 200</t>
        </is>
      </c>
      <c r="E186" s="49" t="inlineStr">
        <is>
          <t>Real Estate</t>
        </is>
      </c>
      <c r="F186" s="50" t="n">
        <v>18646028288</v>
      </c>
      <c r="G186" s="49" t="inlineStr">
        <is>
          <t>nightly refresh</t>
        </is>
      </c>
      <c r="H186" s="48" t="n">
        <v>37</v>
      </c>
      <c r="I186" s="49" t="inlineStr">
        <is>
          <t>Yes</t>
        </is>
      </c>
      <c r="J186" s="49" t="inlineStr">
        <is>
          <t>2010-12-13</t>
        </is>
      </c>
      <c r="K186" s="48" t="n">
        <v>3970</v>
      </c>
      <c r="L186" s="49" t="inlineStr">
        <is>
          <t>2010-12-13</t>
        </is>
      </c>
      <c r="M186" s="49" t="inlineStr">
        <is>
          <t>2026-08-26</t>
        </is>
      </c>
      <c r="N186" s="48" t="n">
        <v>168</v>
      </c>
      <c r="O186" s="51" t="n">
        <v>-12.4627</v>
      </c>
      <c r="P186" s="51" t="n">
        <v>-63.9493</v>
      </c>
      <c r="Q186" s="51" t="n">
        <v>29.8955</v>
      </c>
      <c r="R186" s="51" t="n">
        <v>-13.2621</v>
      </c>
      <c r="S186" s="52">
        <f>IF($I186="Yes",$O186,"")</f>
        <v/>
      </c>
    </row>
    <row r="187">
      <c r="A187" s="43" t="inlineStr">
        <is>
          <t>SGP.AX</t>
        </is>
      </c>
      <c r="B187" s="44" t="inlineStr">
        <is>
          <t>Stockland</t>
        </is>
      </c>
      <c r="C187" s="44" t="inlineStr">
        <is>
          <t>AU</t>
        </is>
      </c>
      <c r="D187" s="44" t="inlineStr">
        <is>
          <t>ASX 200</t>
        </is>
      </c>
      <c r="E187" s="44" t="inlineStr">
        <is>
          <t>Real Estate</t>
        </is>
      </c>
      <c r="F187" s="45" t="n">
        <v>10747867136</v>
      </c>
      <c r="G187" s="44" t="inlineStr">
        <is>
          <t>nightly refresh</t>
        </is>
      </c>
      <c r="H187" s="43" t="n">
        <v>60</v>
      </c>
      <c r="I187" s="44" t="inlineStr">
        <is>
          <t>Yes</t>
        </is>
      </c>
      <c r="J187" s="44" t="inlineStr">
        <is>
          <t>1988-04-29</t>
        </is>
      </c>
      <c r="K187" s="43" t="n">
        <v>6780</v>
      </c>
      <c r="L187" s="44" t="inlineStr">
        <is>
          <t>2000-01-03</t>
        </is>
      </c>
      <c r="M187" s="44" t="inlineStr">
        <is>
          <t>2026-08-26</t>
        </is>
      </c>
      <c r="N187" s="43" t="n">
        <v>257</v>
      </c>
      <c r="O187" s="46" t="n">
        <v>-16.5028</v>
      </c>
      <c r="P187" s="46" t="n">
        <v>-68.6371</v>
      </c>
      <c r="Q187" s="46" t="n">
        <v>37.6657</v>
      </c>
      <c r="R187" s="46" t="n">
        <v>-30.9319</v>
      </c>
      <c r="S187" s="47">
        <f>IF($I187="Yes",$O187,"")</f>
        <v/>
      </c>
    </row>
    <row r="188">
      <c r="A188" s="48" t="inlineStr">
        <is>
          <t>VCX.AX</t>
        </is>
      </c>
      <c r="B188" s="49" t="inlineStr">
        <is>
          <t>Vicinity Centres</t>
        </is>
      </c>
      <c r="C188" s="49" t="inlineStr">
        <is>
          <t>AU</t>
        </is>
      </c>
      <c r="D188" s="49" t="inlineStr">
        <is>
          <t>ASX 200</t>
        </is>
      </c>
      <c r="E188" s="49" t="inlineStr">
        <is>
          <t>Real Estate</t>
        </is>
      </c>
      <c r="F188" s="50" t="n">
        <v>11508034560</v>
      </c>
      <c r="G188" s="49" t="inlineStr">
        <is>
          <t>nightly refresh</t>
        </is>
      </c>
      <c r="H188" s="48" t="n">
        <v>55</v>
      </c>
      <c r="I188" s="49" t="inlineStr">
        <is>
          <t>Yes</t>
        </is>
      </c>
      <c r="J188" s="49" t="inlineStr">
        <is>
          <t>2011-12-05</t>
        </is>
      </c>
      <c r="K188" s="48" t="n">
        <v>3727</v>
      </c>
      <c r="L188" s="49" t="inlineStr">
        <is>
          <t>2011-12-05</t>
        </is>
      </c>
      <c r="M188" s="49" t="inlineStr">
        <is>
          <t>2026-08-26</t>
        </is>
      </c>
      <c r="N188" s="48" t="n">
        <v>148</v>
      </c>
      <c r="O188" s="51" t="n">
        <v>-13.3784</v>
      </c>
      <c r="P188" s="51" t="n">
        <v>-63.4436</v>
      </c>
      <c r="Q188" s="51" t="n">
        <v>30.4533</v>
      </c>
      <c r="R188" s="51" t="n">
        <v>-6.3197</v>
      </c>
      <c r="S188" s="52">
        <f>IF($I188="Yes",$O188,"")</f>
        <v/>
      </c>
    </row>
    <row r="189">
      <c r="A189" s="43" t="inlineStr">
        <is>
          <t>WPR.AX</t>
        </is>
      </c>
      <c r="B189" s="44" t="inlineStr">
        <is>
          <t>Waypoint REIT</t>
        </is>
      </c>
      <c r="C189" s="44" t="inlineStr">
        <is>
          <t>AU</t>
        </is>
      </c>
      <c r="D189" s="44" t="inlineStr">
        <is>
          <t>ASX 200</t>
        </is>
      </c>
      <c r="E189" s="44" t="inlineStr">
        <is>
          <t>Real Estate</t>
        </is>
      </c>
      <c r="F189" s="45" t="n">
        <v>1586968704</v>
      </c>
      <c r="G189" s="44" t="inlineStr">
        <is>
          <t>nightly refresh</t>
        </is>
      </c>
      <c r="H189" s="43" t="n">
        <v>179</v>
      </c>
      <c r="I189" s="44" t="inlineStr">
        <is>
          <t>No</t>
        </is>
      </c>
      <c r="J189" s="44" t="inlineStr">
        <is>
          <t>2016-08-03</t>
        </is>
      </c>
      <c r="K189" s="43" t="n">
        <v>2548</v>
      </c>
      <c r="L189" s="44" t="inlineStr">
        <is>
          <t>2016-08-03</t>
        </is>
      </c>
      <c r="M189" s="44" t="inlineStr">
        <is>
          <t>2026-08-26</t>
        </is>
      </c>
      <c r="N189" s="43" t="n">
        <v>101</v>
      </c>
      <c r="O189" s="46" t="n">
        <v>-11.2269</v>
      </c>
      <c r="P189" s="46" t="n">
        <v>-34.5183</v>
      </c>
      <c r="Q189" s="46" t="n">
        <v>26.341</v>
      </c>
      <c r="R189" s="46" t="n">
        <v>-10.1916</v>
      </c>
      <c r="S189" s="47">
        <f>IF($I189="Yes",$O189,"")</f>
        <v/>
      </c>
    </row>
    <row r="190">
      <c r="A190" s="48" t="inlineStr">
        <is>
          <t>360.AX</t>
        </is>
      </c>
      <c r="B190" s="49" t="inlineStr">
        <is>
          <t>Life360, Inc.</t>
        </is>
      </c>
      <c r="C190" s="49" t="inlineStr">
        <is>
          <t>AU</t>
        </is>
      </c>
      <c r="D190" s="49" t="inlineStr">
        <is>
          <t>ASX 200</t>
        </is>
      </c>
      <c r="E190" s="49" t="inlineStr">
        <is>
          <t>Technology</t>
        </is>
      </c>
      <c r="F190" s="50" t="n">
        <v>4883933184</v>
      </c>
      <c r="G190" s="49" t="inlineStr">
        <is>
          <t>nightly refresh</t>
        </is>
      </c>
      <c r="H190" s="48" t="n">
        <v>110</v>
      </c>
      <c r="I190" s="49" t="inlineStr">
        <is>
          <t>No</t>
        </is>
      </c>
      <c r="J190" s="49" t="inlineStr">
        <is>
          <t>2019-05-10</t>
        </is>
      </c>
      <c r="K190" s="48" t="n">
        <v>1849</v>
      </c>
      <c r="L190" s="49" t="inlineStr">
        <is>
          <t>2019-05-10</t>
        </is>
      </c>
      <c r="M190" s="49" t="inlineStr">
        <is>
          <t>2026-08-26</t>
        </is>
      </c>
      <c r="N190" s="48" t="n">
        <v>109</v>
      </c>
      <c r="O190" s="51" t="n">
        <v>-31.6387</v>
      </c>
      <c r="P190" s="51" t="n">
        <v>-82.82250000000001</v>
      </c>
      <c r="Q190" s="51" t="n">
        <v>132.1365</v>
      </c>
      <c r="R190" s="51" t="n">
        <v>-63.3435</v>
      </c>
      <c r="S190" s="52">
        <f>IF($I190="Yes",$O190,"")</f>
        <v/>
      </c>
    </row>
    <row r="191">
      <c r="A191" s="43" t="inlineStr">
        <is>
          <t>CDA.AX</t>
        </is>
      </c>
      <c r="B191" s="44" t="inlineStr">
        <is>
          <t>Codan Limited</t>
        </is>
      </c>
      <c r="C191" s="44" t="inlineStr">
        <is>
          <t>AU</t>
        </is>
      </c>
      <c r="D191" s="44" t="inlineStr">
        <is>
          <t>ASX 200</t>
        </is>
      </c>
      <c r="E191" s="44" t="inlineStr">
        <is>
          <t>Technology</t>
        </is>
      </c>
      <c r="F191" s="45" t="n">
        <v>8842778624</v>
      </c>
      <c r="G191" s="44" t="inlineStr">
        <is>
          <t>nightly refresh</t>
        </is>
      </c>
      <c r="H191" s="43" t="n">
        <v>75</v>
      </c>
      <c r="I191" s="44" t="inlineStr">
        <is>
          <t>No</t>
        </is>
      </c>
      <c r="J191" s="44" t="inlineStr">
        <is>
          <t>2003-11-26</t>
        </is>
      </c>
      <c r="K191" s="43" t="n">
        <v>5763</v>
      </c>
      <c r="L191" s="44" t="inlineStr">
        <is>
          <t>2003-11-26</t>
        </is>
      </c>
      <c r="M191" s="44" t="inlineStr">
        <is>
          <t>2026-08-26</t>
        </is>
      </c>
      <c r="N191" s="43" t="n">
        <v>271</v>
      </c>
      <c r="O191" s="46" t="n">
        <v>-24.6462</v>
      </c>
      <c r="P191" s="46" t="n">
        <v>-83.1818</v>
      </c>
      <c r="Q191" s="46" t="n">
        <v>91.9096</v>
      </c>
      <c r="R191" s="46" t="n">
        <v>-3.0452</v>
      </c>
      <c r="S191" s="47">
        <f>IF($I191="Yes",$O191,"")</f>
        <v/>
      </c>
    </row>
    <row r="192">
      <c r="A192" s="48" t="inlineStr">
        <is>
          <t>DTL.AX</t>
        </is>
      </c>
      <c r="B192" s="49" t="inlineStr">
        <is>
          <t>Data#3 Limited</t>
        </is>
      </c>
      <c r="C192" s="49" t="inlineStr">
        <is>
          <t>AU</t>
        </is>
      </c>
      <c r="D192" s="49" t="inlineStr">
        <is>
          <t>ASX 200</t>
        </is>
      </c>
      <c r="E192" s="49" t="inlineStr">
        <is>
          <t>Technology</t>
        </is>
      </c>
      <c r="F192" s="50" t="n">
        <v>1702754560</v>
      </c>
      <c r="G192" s="49" t="inlineStr">
        <is>
          <t>nightly refresh</t>
        </is>
      </c>
      <c r="H192" s="48" t="n">
        <v>174</v>
      </c>
      <c r="I192" s="49" t="inlineStr">
        <is>
          <t>No</t>
        </is>
      </c>
      <c r="J192" s="49" t="inlineStr">
        <is>
          <t>1997-12-31</t>
        </is>
      </c>
      <c r="K192" s="48" t="n">
        <v>6780</v>
      </c>
      <c r="L192" s="49" t="inlineStr">
        <is>
          <t>2000-01-03</t>
        </is>
      </c>
      <c r="M192" s="49" t="inlineStr">
        <is>
          <t>2026-08-26</t>
        </is>
      </c>
      <c r="N192" s="48" t="n">
        <v>313</v>
      </c>
      <c r="O192" s="51" t="n">
        <v>-20.2873</v>
      </c>
      <c r="P192" s="51" t="n">
        <v>-82.8603</v>
      </c>
      <c r="Q192" s="51" t="n">
        <v>65.2727</v>
      </c>
      <c r="R192" s="51" t="n">
        <v>-6.0119</v>
      </c>
      <c r="S192" s="52">
        <f>IF($I192="Yes",$O192,"")</f>
        <v/>
      </c>
    </row>
    <row r="193">
      <c r="A193" s="43" t="inlineStr">
        <is>
          <t>IRE.AX</t>
        </is>
      </c>
      <c r="B193" s="44" t="inlineStr">
        <is>
          <t>Iress Limited</t>
        </is>
      </c>
      <c r="C193" s="44" t="inlineStr">
        <is>
          <t>AU</t>
        </is>
      </c>
      <c r="D193" s="44" t="inlineStr">
        <is>
          <t>ASX 200</t>
        </is>
      </c>
      <c r="E193" s="44" t="inlineStr">
        <is>
          <t>Technology</t>
        </is>
      </c>
      <c r="F193" s="45" t="n">
        <v>1118868864</v>
      </c>
      <c r="G193" s="44" t="inlineStr">
        <is>
          <t>nightly refresh</t>
        </is>
      </c>
      <c r="H193" s="43" t="n">
        <v>198</v>
      </c>
      <c r="I193" s="44" t="inlineStr">
        <is>
          <t>No</t>
        </is>
      </c>
      <c r="J193" s="44" t="inlineStr">
        <is>
          <t>2000-11-02</t>
        </is>
      </c>
      <c r="K193" s="43" t="n">
        <v>6562</v>
      </c>
      <c r="L193" s="44" t="inlineStr">
        <is>
          <t>2000-11-02</t>
        </is>
      </c>
      <c r="M193" s="44" t="inlineStr">
        <is>
          <t>2026-08-26</t>
        </is>
      </c>
      <c r="N193" s="43" t="n">
        <v>329</v>
      </c>
      <c r="O193" s="46" t="n">
        <v>-19.4032</v>
      </c>
      <c r="P193" s="46" t="n">
        <v>-55.1404</v>
      </c>
      <c r="Q193" s="46" t="n">
        <v>39.4854</v>
      </c>
      <c r="R193" s="46" t="n">
        <v>-39.8044</v>
      </c>
      <c r="S193" s="47">
        <f>IF($I193="Yes",$O193,"")</f>
        <v/>
      </c>
    </row>
    <row r="194">
      <c r="A194" s="48" t="inlineStr">
        <is>
          <t>MP1.AX</t>
        </is>
      </c>
      <c r="B194" s="49" t="inlineStr">
        <is>
          <t>Megaport Limited</t>
        </is>
      </c>
      <c r="C194" s="49" t="inlineStr">
        <is>
          <t>AU</t>
        </is>
      </c>
      <c r="D194" s="49" t="inlineStr">
        <is>
          <t>ASX 200</t>
        </is>
      </c>
      <c r="E194" s="49" t="inlineStr">
        <is>
          <t>Technology</t>
        </is>
      </c>
      <c r="F194" s="50" t="n">
        <v>4134807040</v>
      </c>
      <c r="G194" s="49" t="inlineStr">
        <is>
          <t>nightly refresh</t>
        </is>
      </c>
      <c r="H194" s="48" t="n">
        <v>122</v>
      </c>
      <c r="I194" s="49" t="inlineStr">
        <is>
          <t>No</t>
        </is>
      </c>
      <c r="J194" s="49" t="inlineStr">
        <is>
          <t>2015-12-17</t>
        </is>
      </c>
      <c r="K194" s="48" t="n">
        <v>2705</v>
      </c>
      <c r="L194" s="49" t="inlineStr">
        <is>
          <t>2015-12-17</t>
        </is>
      </c>
      <c r="M194" s="49" t="inlineStr">
        <is>
          <t>2026-08-26</t>
        </is>
      </c>
      <c r="N194" s="48" t="n">
        <v>149</v>
      </c>
      <c r="O194" s="51" t="n">
        <v>-30.1649</v>
      </c>
      <c r="P194" s="51" t="n">
        <v>-78.0455</v>
      </c>
      <c r="Q194" s="51" t="n">
        <v>102.7168</v>
      </c>
      <c r="R194" s="51" t="n">
        <v>-23.8033</v>
      </c>
      <c r="S194" s="52">
        <f>IF($I194="Yes",$O194,"")</f>
        <v/>
      </c>
    </row>
    <row r="195">
      <c r="A195" s="43" t="inlineStr">
        <is>
          <t>NWL.AX</t>
        </is>
      </c>
      <c r="B195" s="44" t="inlineStr">
        <is>
          <t>Netwealth Group Limited</t>
        </is>
      </c>
      <c r="C195" s="44" t="inlineStr">
        <is>
          <t>AU</t>
        </is>
      </c>
      <c r="D195" s="44" t="inlineStr">
        <is>
          <t>ASX 200</t>
        </is>
      </c>
      <c r="E195" s="44" t="inlineStr">
        <is>
          <t>Technology</t>
        </is>
      </c>
      <c r="F195" s="45" t="n">
        <v>5276028928</v>
      </c>
      <c r="G195" s="44" t="inlineStr">
        <is>
          <t>nightly refresh</t>
        </is>
      </c>
      <c r="H195" s="43" t="n">
        <v>105</v>
      </c>
      <c r="I195" s="44" t="inlineStr">
        <is>
          <t>No</t>
        </is>
      </c>
      <c r="J195" s="44" t="inlineStr">
        <is>
          <t>2017-11-20</t>
        </is>
      </c>
      <c r="K195" s="43" t="n">
        <v>2218</v>
      </c>
      <c r="L195" s="44" t="inlineStr">
        <is>
          <t>2017-11-20</t>
        </is>
      </c>
      <c r="M195" s="44" t="inlineStr">
        <is>
          <t>2026-08-26</t>
        </is>
      </c>
      <c r="N195" s="43" t="n">
        <v>125</v>
      </c>
      <c r="O195" s="46" t="n">
        <v>-20.2776</v>
      </c>
      <c r="P195" s="46" t="n">
        <v>-47.2753</v>
      </c>
      <c r="Q195" s="46" t="n">
        <v>70.5432</v>
      </c>
      <c r="R195" s="46" t="n">
        <v>-35.1223</v>
      </c>
      <c r="S195" s="47">
        <f>IF($I195="Yes",$O195,"")</f>
        <v/>
      </c>
    </row>
    <row r="196">
      <c r="A196" s="48" t="inlineStr">
        <is>
          <t>NXT.AX</t>
        </is>
      </c>
      <c r="B196" s="49" t="inlineStr">
        <is>
          <t>NEXTDC Limited</t>
        </is>
      </c>
      <c r="C196" s="49" t="inlineStr">
        <is>
          <t>AU</t>
        </is>
      </c>
      <c r="D196" s="49" t="inlineStr">
        <is>
          <t>ASX 200</t>
        </is>
      </c>
      <c r="E196" s="49" t="inlineStr">
        <is>
          <t>Technology</t>
        </is>
      </c>
      <c r="F196" s="50" t="n">
        <v>10326453248</v>
      </c>
      <c r="G196" s="49" t="inlineStr">
        <is>
          <t>nightly refresh</t>
        </is>
      </c>
      <c r="H196" s="48" t="n">
        <v>63</v>
      </c>
      <c r="I196" s="49" t="inlineStr">
        <is>
          <t>No</t>
        </is>
      </c>
      <c r="J196" s="49" t="inlineStr">
        <is>
          <t>2010-12-13</t>
        </is>
      </c>
      <c r="K196" s="48" t="n">
        <v>3970</v>
      </c>
      <c r="L196" s="49" t="inlineStr">
        <is>
          <t>2010-12-13</t>
        </is>
      </c>
      <c r="M196" s="49" t="inlineStr">
        <is>
          <t>2026-08-26</t>
        </is>
      </c>
      <c r="N196" s="48" t="n">
        <v>207</v>
      </c>
      <c r="O196" s="51" t="n">
        <v>-19.7215</v>
      </c>
      <c r="P196" s="51" t="n">
        <v>-48.7847</v>
      </c>
      <c r="Q196" s="51" t="n">
        <v>47.1562</v>
      </c>
      <c r="R196" s="51" t="n">
        <v>-24.2591</v>
      </c>
      <c r="S196" s="52">
        <f>IF($I196="Yes",$O196,"")</f>
        <v/>
      </c>
    </row>
    <row r="197">
      <c r="A197" s="43" t="inlineStr">
        <is>
          <t>PXA.AX</t>
        </is>
      </c>
      <c r="B197" s="44" t="inlineStr">
        <is>
          <t>PEXA Group Limited</t>
        </is>
      </c>
      <c r="C197" s="44" t="inlineStr">
        <is>
          <t>AU</t>
        </is>
      </c>
      <c r="D197" s="44" t="inlineStr">
        <is>
          <t>ASX 200</t>
        </is>
      </c>
      <c r="E197" s="44" t="inlineStr">
        <is>
          <t>Technology</t>
        </is>
      </c>
      <c r="F197" s="45" t="n">
        <v>1423323904</v>
      </c>
      <c r="G197" s="44" t="inlineStr">
        <is>
          <t>nightly refresh</t>
        </is>
      </c>
      <c r="H197" s="43" t="n">
        <v>184</v>
      </c>
      <c r="I197" s="44" t="inlineStr">
        <is>
          <t>No</t>
        </is>
      </c>
      <c r="J197" s="44" t="inlineStr">
        <is>
          <t>2021-07-01</t>
        </is>
      </c>
      <c r="K197" s="43" t="n">
        <v>1305</v>
      </c>
      <c r="L197" s="44" t="inlineStr">
        <is>
          <t>2021-07-01</t>
        </is>
      </c>
      <c r="M197" s="44" t="inlineStr">
        <is>
          <t>2026-08-26</t>
        </is>
      </c>
      <c r="N197" s="43" t="n">
        <v>75</v>
      </c>
      <c r="O197" s="46" t="n">
        <v>-22.9441</v>
      </c>
      <c r="P197" s="46" t="n">
        <v>-58.149</v>
      </c>
      <c r="Q197" s="46" t="n">
        <v>27.6641</v>
      </c>
      <c r="R197" s="46" t="n">
        <v>-52.5163</v>
      </c>
      <c r="S197" s="47">
        <f>IF($I197="Yes",$O197,"")</f>
        <v/>
      </c>
    </row>
    <row r="198">
      <c r="A198" s="48" t="inlineStr">
        <is>
          <t>SLX.AX</t>
        </is>
      </c>
      <c r="B198" s="49" t="inlineStr">
        <is>
          <t>Silex Systems Limited</t>
        </is>
      </c>
      <c r="C198" s="49" t="inlineStr">
        <is>
          <t>AU</t>
        </is>
      </c>
      <c r="D198" s="49" t="inlineStr">
        <is>
          <t>ASX 200</t>
        </is>
      </c>
      <c r="E198" s="49" t="inlineStr">
        <is>
          <t>Technology</t>
        </is>
      </c>
      <c r="F198" s="50" t="n">
        <v>1630854144</v>
      </c>
      <c r="G198" s="49" t="inlineStr">
        <is>
          <t>nightly refresh</t>
        </is>
      </c>
      <c r="H198" s="48" t="n">
        <v>178</v>
      </c>
      <c r="I198" s="49" t="inlineStr">
        <is>
          <t>No</t>
        </is>
      </c>
      <c r="J198" s="49" t="inlineStr">
        <is>
          <t>1998-05-29</t>
        </is>
      </c>
      <c r="K198" s="48" t="n">
        <v>6780</v>
      </c>
      <c r="L198" s="49" t="inlineStr">
        <is>
          <t>2000-01-03</t>
        </is>
      </c>
      <c r="M198" s="49" t="inlineStr">
        <is>
          <t>2026-08-26</t>
        </is>
      </c>
      <c r="N198" s="48" t="n">
        <v>350</v>
      </c>
      <c r="O198" s="51" t="n">
        <v>-40.4296</v>
      </c>
      <c r="P198" s="51" t="n">
        <v>-87.3973</v>
      </c>
      <c r="Q198" s="51" t="n">
        <v>108.4717</v>
      </c>
      <c r="R198" s="51" t="n">
        <v>-45.9908</v>
      </c>
      <c r="S198" s="52">
        <f>IF($I198="Yes",$O198,"")</f>
        <v/>
      </c>
    </row>
    <row r="199">
      <c r="A199" s="43" t="inlineStr">
        <is>
          <t>TNE.AX</t>
        </is>
      </c>
      <c r="B199" s="44" t="inlineStr">
        <is>
          <t>Technology One Limited</t>
        </is>
      </c>
      <c r="C199" s="44" t="inlineStr">
        <is>
          <t>AU</t>
        </is>
      </c>
      <c r="D199" s="44" t="inlineStr">
        <is>
          <t>ASX 200</t>
        </is>
      </c>
      <c r="E199" s="44" t="inlineStr">
        <is>
          <t>Technology</t>
        </is>
      </c>
      <c r="F199" s="45" t="n">
        <v>10357940224</v>
      </c>
      <c r="G199" s="44" t="inlineStr">
        <is>
          <t>nightly refresh</t>
        </is>
      </c>
      <c r="H199" s="43" t="n">
        <v>62</v>
      </c>
      <c r="I199" s="44" t="inlineStr">
        <is>
          <t>No</t>
        </is>
      </c>
      <c r="J199" s="44" t="inlineStr">
        <is>
          <t>1999-12-07</t>
        </is>
      </c>
      <c r="K199" s="43" t="n">
        <v>6780</v>
      </c>
      <c r="L199" s="44" t="inlineStr">
        <is>
          <t>2000-01-03</t>
        </is>
      </c>
      <c r="M199" s="44" t="inlineStr">
        <is>
          <t>2026-08-26</t>
        </is>
      </c>
      <c r="N199" s="43" t="n">
        <v>267</v>
      </c>
      <c r="O199" s="46" t="n">
        <v>-19.5437</v>
      </c>
      <c r="P199" s="46" t="n">
        <v>-73.8573</v>
      </c>
      <c r="Q199" s="46" t="n">
        <v>54.2254</v>
      </c>
      <c r="R199" s="46" t="n">
        <v>-17.6479</v>
      </c>
      <c r="S199" s="47">
        <f>IF($I199="Yes",$O199,"")</f>
        <v/>
      </c>
    </row>
    <row r="200">
      <c r="A200" s="48" t="inlineStr">
        <is>
          <t>WTC.AX</t>
        </is>
      </c>
      <c r="B200" s="49" t="inlineStr">
        <is>
          <t>WiseTech Global Limited</t>
        </is>
      </c>
      <c r="C200" s="49" t="inlineStr">
        <is>
          <t>AU</t>
        </is>
      </c>
      <c r="D200" s="49" t="inlineStr">
        <is>
          <t>ASX 200</t>
        </is>
      </c>
      <c r="E200" s="49" t="inlineStr">
        <is>
          <t>Technology</t>
        </is>
      </c>
      <c r="F200" s="50" t="n">
        <v>13300770816</v>
      </c>
      <c r="G200" s="49" t="inlineStr">
        <is>
          <t>nightly refresh</t>
        </is>
      </c>
      <c r="H200" s="48" t="n">
        <v>48</v>
      </c>
      <c r="I200" s="49" t="inlineStr">
        <is>
          <t>Yes</t>
        </is>
      </c>
      <c r="J200" s="49" t="inlineStr">
        <is>
          <t>2016-04-11</t>
        </is>
      </c>
      <c r="K200" s="48" t="n">
        <v>2628</v>
      </c>
      <c r="L200" s="49" t="inlineStr">
        <is>
          <t>2016-04-11</t>
        </is>
      </c>
      <c r="M200" s="49" t="inlineStr">
        <is>
          <t>2026-08-26</t>
        </is>
      </c>
      <c r="N200" s="48" t="n">
        <v>145</v>
      </c>
      <c r="O200" s="51" t="n">
        <v>-26.2994</v>
      </c>
      <c r="P200" s="51" t="n">
        <v>-76.2149</v>
      </c>
      <c r="Q200" s="51" t="n">
        <v>92.55249999999999</v>
      </c>
      <c r="R200" s="51" t="n">
        <v>-60.2603</v>
      </c>
      <c r="S200" s="52">
        <f>IF($I200="Yes",$O200,"")</f>
        <v/>
      </c>
    </row>
    <row r="201">
      <c r="A201" s="43" t="inlineStr">
        <is>
          <t>XRO.AX</t>
        </is>
      </c>
      <c r="B201" s="44" t="inlineStr">
        <is>
          <t>Xero Limited</t>
        </is>
      </c>
      <c r="C201" s="44" t="inlineStr">
        <is>
          <t>AU</t>
        </is>
      </c>
      <c r="D201" s="44" t="inlineStr">
        <is>
          <t>ASX 200</t>
        </is>
      </c>
      <c r="E201" s="44" t="inlineStr">
        <is>
          <t>Technology</t>
        </is>
      </c>
      <c r="F201" s="45" t="n">
        <v>14438550528</v>
      </c>
      <c r="G201" s="44" t="inlineStr">
        <is>
          <t>nightly refresh</t>
        </is>
      </c>
      <c r="H201" s="43" t="n">
        <v>45</v>
      </c>
      <c r="I201" s="44" t="inlineStr">
        <is>
          <t>Yes</t>
        </is>
      </c>
      <c r="J201" s="44" t="inlineStr">
        <is>
          <t>2012-11-08</t>
        </is>
      </c>
      <c r="K201" s="43" t="n">
        <v>3492</v>
      </c>
      <c r="L201" s="44" t="inlineStr">
        <is>
          <t>2012-11-08</t>
        </is>
      </c>
      <c r="M201" s="44" t="inlineStr">
        <is>
          <t>2026-08-26</t>
        </is>
      </c>
      <c r="N201" s="43" t="n">
        <v>190</v>
      </c>
      <c r="O201" s="46" t="n">
        <v>-24.9936</v>
      </c>
      <c r="P201" s="46" t="n">
        <v>-67.4348</v>
      </c>
      <c r="Q201" s="46" t="n">
        <v>80.413</v>
      </c>
      <c r="R201" s="46" t="n">
        <v>-49.4518</v>
      </c>
      <c r="S201" s="47">
        <f>IF($I201="Yes",$O201,"")</f>
        <v/>
      </c>
    </row>
    <row r="202">
      <c r="A202" s="48" t="inlineStr">
        <is>
          <t>XYZ.AX</t>
        </is>
      </c>
      <c r="B202" s="49" t="inlineStr">
        <is>
          <t>Block, Inc.</t>
        </is>
      </c>
      <c r="C202" s="49" t="inlineStr">
        <is>
          <t>AU</t>
        </is>
      </c>
      <c r="D202" s="49" t="inlineStr">
        <is>
          <t>ASX 200</t>
        </is>
      </c>
      <c r="E202" s="49" t="inlineStr">
        <is>
          <t>Technology</t>
        </is>
      </c>
      <c r="F202" s="50" t="n">
        <v>69013323776</v>
      </c>
      <c r="G202" s="49" t="inlineStr">
        <is>
          <t>nightly refresh</t>
        </is>
      </c>
      <c r="H202" s="48" t="n">
        <v>11</v>
      </c>
      <c r="I202" s="49" t="inlineStr">
        <is>
          <t>Yes</t>
        </is>
      </c>
      <c r="J202" s="49" t="inlineStr">
        <is>
          <t>2022-01-20</t>
        </is>
      </c>
      <c r="K202" s="48" t="n">
        <v>1163</v>
      </c>
      <c r="L202" s="49" t="inlineStr">
        <is>
          <t>2022-01-20</t>
        </is>
      </c>
      <c r="M202" s="49" t="inlineStr">
        <is>
          <t>2026-08-26</t>
        </is>
      </c>
      <c r="N202" s="48" t="n">
        <v>81</v>
      </c>
      <c r="O202" s="51" t="n">
        <v>-32.774</v>
      </c>
      <c r="P202" s="51" t="n">
        <v>-58.6735</v>
      </c>
      <c r="Q202" s="51" t="n">
        <v>56.0177</v>
      </c>
      <c r="R202" s="51" t="n">
        <v>-7.9113</v>
      </c>
      <c r="S202" s="52">
        <f>IF($I202="Yes",$O202,"")</f>
        <v/>
      </c>
    </row>
    <row r="203">
      <c r="A203" s="43" t="inlineStr">
        <is>
          <t>AGL.AX</t>
        </is>
      </c>
      <c r="B203" s="44" t="inlineStr">
        <is>
          <t>AGL Energy Limited</t>
        </is>
      </c>
      <c r="C203" s="44" t="inlineStr">
        <is>
          <t>AU</t>
        </is>
      </c>
      <c r="D203" s="44" t="inlineStr">
        <is>
          <t>ASX 200</t>
        </is>
      </c>
      <c r="E203" s="44" t="inlineStr">
        <is>
          <t>Utilities</t>
        </is>
      </c>
      <c r="F203" s="45" t="n">
        <v>5785626624</v>
      </c>
      <c r="G203" s="44" t="inlineStr">
        <is>
          <t>nightly refresh</t>
        </is>
      </c>
      <c r="H203" s="43" t="n">
        <v>97</v>
      </c>
      <c r="I203" s="44" t="inlineStr">
        <is>
          <t>No</t>
        </is>
      </c>
      <c r="J203" s="44" t="inlineStr">
        <is>
          <t>2000-01-04</t>
        </is>
      </c>
      <c r="K203" s="43" t="n">
        <v>6779</v>
      </c>
      <c r="L203" s="44" t="inlineStr">
        <is>
          <t>2000-01-04</t>
        </is>
      </c>
      <c r="M203" s="44" t="inlineStr">
        <is>
          <t>2026-08-26</t>
        </is>
      </c>
      <c r="N203" s="43" t="n">
        <v>315</v>
      </c>
      <c r="O203" s="46" t="n">
        <v>-16.8068</v>
      </c>
      <c r="P203" s="46" t="n">
        <v>-61.191</v>
      </c>
      <c r="Q203" s="46" t="n">
        <v>27.6201</v>
      </c>
      <c r="R203" s="46" t="n">
        <v>-16.6871</v>
      </c>
      <c r="S203" s="47">
        <f>IF($I203="Yes",$O203,"")</f>
        <v/>
      </c>
    </row>
    <row r="204">
      <c r="A204" s="48" t="inlineStr">
        <is>
          <t>APA.AX</t>
        </is>
      </c>
      <c r="B204" s="49" t="inlineStr">
        <is>
          <t>APA Group</t>
        </is>
      </c>
      <c r="C204" s="49" t="inlineStr">
        <is>
          <t>AU</t>
        </is>
      </c>
      <c r="D204" s="49" t="inlineStr">
        <is>
          <t>ASX 200</t>
        </is>
      </c>
      <c r="E204" s="49" t="inlineStr">
        <is>
          <t>Utilities</t>
        </is>
      </c>
      <c r="F204" s="50" t="n">
        <v>14256803840</v>
      </c>
      <c r="G204" s="49" t="inlineStr">
        <is>
          <t>nightly refresh</t>
        </is>
      </c>
      <c r="H204" s="48" t="n">
        <v>46</v>
      </c>
      <c r="I204" s="49" t="inlineStr">
        <is>
          <t>Yes</t>
        </is>
      </c>
      <c r="J204" s="49" t="inlineStr">
        <is>
          <t>2000-06-12</t>
        </is>
      </c>
      <c r="K204" s="48" t="n">
        <v>6665</v>
      </c>
      <c r="L204" s="49" t="inlineStr">
        <is>
          <t>2000-06-12</t>
        </is>
      </c>
      <c r="M204" s="49" t="inlineStr">
        <is>
          <t>2026-08-26</t>
        </is>
      </c>
      <c r="N204" s="48" t="n">
        <v>285</v>
      </c>
      <c r="O204" s="51" t="n">
        <v>-13.4445</v>
      </c>
      <c r="P204" s="51" t="n">
        <v>-37.5426</v>
      </c>
      <c r="Q204" s="51" t="n">
        <v>31.3125</v>
      </c>
      <c r="R204" s="51" t="n">
        <v>-0.8264</v>
      </c>
      <c r="S204" s="52">
        <f>IF($I204="Yes",$O204,"")</f>
        <v/>
      </c>
    </row>
    <row r="205">
      <c r="A205" s="43" t="inlineStr">
        <is>
          <t>ORG.AX</t>
        </is>
      </c>
      <c r="B205" s="44" t="inlineStr">
        <is>
          <t>Origin Energy Limited</t>
        </is>
      </c>
      <c r="C205" s="44" t="inlineStr">
        <is>
          <t>AU</t>
        </is>
      </c>
      <c r="D205" s="44" t="inlineStr">
        <is>
          <t>ASX 200</t>
        </is>
      </c>
      <c r="E205" s="44" t="inlineStr">
        <is>
          <t>Utilities</t>
        </is>
      </c>
      <c r="F205" s="45" t="n">
        <v>20173375488</v>
      </c>
      <c r="G205" s="44" t="inlineStr">
        <is>
          <t>nightly refresh</t>
        </is>
      </c>
      <c r="H205" s="43" t="n">
        <v>34</v>
      </c>
      <c r="I205" s="44" t="inlineStr">
        <is>
          <t>Yes</t>
        </is>
      </c>
      <c r="J205" s="44" t="inlineStr">
        <is>
          <t>1999-02-22</t>
        </is>
      </c>
      <c r="K205" s="43" t="n">
        <v>6780</v>
      </c>
      <c r="L205" s="44" t="inlineStr">
        <is>
          <t>2000-01-03</t>
        </is>
      </c>
      <c r="M205" s="44" t="inlineStr">
        <is>
          <t>2026-08-26</t>
        </is>
      </c>
      <c r="N205" s="43" t="n">
        <v>327</v>
      </c>
      <c r="O205" s="46" t="n">
        <v>-17.6571</v>
      </c>
      <c r="P205" s="46" t="n">
        <v>-69.6653</v>
      </c>
      <c r="Q205" s="46" t="n">
        <v>44.2656</v>
      </c>
      <c r="R205" s="46" t="n">
        <v>-7.3209</v>
      </c>
      <c r="S205" s="47">
        <f>IF($I205="Yes",$O205,"")</f>
        <v/>
      </c>
    </row>
    <row r="206">
      <c r="A206" s="48" t="inlineStr">
        <is>
          <t>FISV</t>
        </is>
      </c>
      <c r="B206" s="49" t="inlineStr">
        <is>
          <t>Fiserv, Inc.</t>
        </is>
      </c>
      <c r="C206" s="49" t="inlineStr">
        <is>
          <t>US</t>
        </is>
      </c>
      <c r="D206" s="49" t="inlineStr">
        <is>
          <t>S&amp;P 500</t>
        </is>
      </c>
      <c r="E206" s="49" t="inlineStr">
        <is>
          <t>(not classified)</t>
        </is>
      </c>
      <c r="F206" s="50" t="n">
        <v>27891165184</v>
      </c>
      <c r="G206" s="49" t="inlineStr">
        <is>
          <t>nightly refresh</t>
        </is>
      </c>
      <c r="H206" s="48" t="n">
        <v>333</v>
      </c>
      <c r="I206" s="49" t="inlineStr">
        <is>
          <t>No</t>
        </is>
      </c>
      <c r="J206" s="49" t="inlineStr">
        <is>
          <t>1986-09-25</t>
        </is>
      </c>
      <c r="K206" s="48" t="n">
        <v>6700</v>
      </c>
      <c r="L206" s="49" t="inlineStr">
        <is>
          <t>2000-01-03</t>
        </is>
      </c>
      <c r="M206" s="49" t="inlineStr">
        <is>
          <t>2026-08-25</t>
        </is>
      </c>
      <c r="N206" s="48" t="n">
        <v>313</v>
      </c>
      <c r="O206" s="51" t="n">
        <v>-18.8463</v>
      </c>
      <c r="P206" s="51" t="n">
        <v>-76.2555</v>
      </c>
      <c r="Q206" s="51" t="n">
        <v>38.572</v>
      </c>
      <c r="R206" s="51" t="n">
        <v>-62.5669</v>
      </c>
      <c r="S206" s="52">
        <f>IF($I206="Yes",$O206,"")</f>
        <v/>
      </c>
    </row>
    <row r="207">
      <c r="A207" s="43" t="inlineStr">
        <is>
          <t>VMRK</t>
        </is>
      </c>
      <c r="B207" s="44" t="inlineStr">
        <is>
          <t>Vivmark Residential</t>
        </is>
      </c>
      <c r="C207" s="44" t="inlineStr">
        <is>
          <t>US</t>
        </is>
      </c>
      <c r="D207" s="44" t="inlineStr">
        <is>
          <t>S&amp;P 500</t>
        </is>
      </c>
      <c r="E207" s="44" t="inlineStr">
        <is>
          <t>(not classified)</t>
        </is>
      </c>
      <c r="F207" s="45" t="n">
        <v>26654126080</v>
      </c>
      <c r="G207" s="44" t="inlineStr">
        <is>
          <t>nightly refresh</t>
        </is>
      </c>
      <c r="H207" s="43" t="n">
        <v>344</v>
      </c>
      <c r="I207" s="44" t="inlineStr">
        <is>
          <t>No</t>
        </is>
      </c>
      <c r="J207" s="44" t="inlineStr">
        <is>
          <t>1993-08-12</t>
        </is>
      </c>
      <c r="K207" s="43" t="n">
        <v>6701</v>
      </c>
      <c r="L207" s="44" t="inlineStr">
        <is>
          <t>2000-01-03</t>
        </is>
      </c>
      <c r="M207" s="44" t="inlineStr">
        <is>
          <t>2026-08-25</t>
        </is>
      </c>
      <c r="N207" s="43" t="n">
        <v>311</v>
      </c>
      <c r="O207" s="46" t="n">
        <v>-16.6166</v>
      </c>
      <c r="P207" s="46" t="n">
        <v>-65.3959</v>
      </c>
      <c r="Q207" s="46" t="n">
        <v>36.6459</v>
      </c>
      <c r="R207" s="46" t="n">
        <v>-5.4266</v>
      </c>
      <c r="S207" s="47">
        <f>IF($I207="Yes",$O207,"")</f>
        <v/>
      </c>
    </row>
    <row r="208">
      <c r="A208" s="48" t="inlineStr">
        <is>
          <t>ALB</t>
        </is>
      </c>
      <c r="B208" s="49" t="inlineStr">
        <is>
          <t>Albemarle Corporation</t>
        </is>
      </c>
      <c r="C208" s="49" t="inlineStr">
        <is>
          <t>US</t>
        </is>
      </c>
      <c r="D208" s="49" t="inlineStr">
        <is>
          <t>S&amp;P 500</t>
        </is>
      </c>
      <c r="E208" s="49" t="inlineStr">
        <is>
          <t>Basic Materials</t>
        </is>
      </c>
      <c r="F208" s="50" t="n">
        <v>15872859136</v>
      </c>
      <c r="G208" s="49" t="inlineStr">
        <is>
          <t>nightly refresh</t>
        </is>
      </c>
      <c r="H208" s="48" t="n">
        <v>435</v>
      </c>
      <c r="I208" s="49" t="inlineStr">
        <is>
          <t>No</t>
        </is>
      </c>
      <c r="J208" s="49" t="inlineStr">
        <is>
          <t>1994-02-22</t>
        </is>
      </c>
      <c r="K208" s="48" t="n">
        <v>6701</v>
      </c>
      <c r="L208" s="49" t="inlineStr">
        <is>
          <t>2000-01-03</t>
        </is>
      </c>
      <c r="M208" s="49" t="inlineStr">
        <is>
          <t>2026-08-25</t>
        </is>
      </c>
      <c r="N208" s="48" t="n">
        <v>351</v>
      </c>
      <c r="O208" s="51" t="n">
        <v>-23.6575</v>
      </c>
      <c r="P208" s="51" t="n">
        <v>-65.6142</v>
      </c>
      <c r="Q208" s="51" t="n">
        <v>60.4078</v>
      </c>
      <c r="R208" s="51" t="n">
        <v>-39.5837</v>
      </c>
      <c r="S208" s="52">
        <f>IF($I208="Yes",$O208,"")</f>
        <v/>
      </c>
    </row>
    <row r="209">
      <c r="A209" s="43" t="inlineStr">
        <is>
          <t>APD</t>
        </is>
      </c>
      <c r="B209" s="44" t="inlineStr">
        <is>
          <t>Air Products and Chemicals, Inc.</t>
        </is>
      </c>
      <c r="C209" s="44" t="inlineStr">
        <is>
          <t>US</t>
        </is>
      </c>
      <c r="D209" s="44" t="inlineStr">
        <is>
          <t>S&amp;P 500</t>
        </is>
      </c>
      <c r="E209" s="44" t="inlineStr">
        <is>
          <t>Basic Materials</t>
        </is>
      </c>
      <c r="F209" s="45" t="n">
        <v>68288745472</v>
      </c>
      <c r="G209" s="44" t="inlineStr">
        <is>
          <t>nightly refresh</t>
        </is>
      </c>
      <c r="H209" s="43" t="n">
        <v>187</v>
      </c>
      <c r="I209" s="44" t="inlineStr">
        <is>
          <t>No</t>
        </is>
      </c>
      <c r="J209" s="44" t="inlineStr">
        <is>
          <t>1980-03-17</t>
        </is>
      </c>
      <c r="K209" s="43" t="n">
        <v>6701</v>
      </c>
      <c r="L209" s="44" t="inlineStr">
        <is>
          <t>2000-01-03</t>
        </is>
      </c>
      <c r="M209" s="44" t="inlineStr">
        <is>
          <t>2026-08-25</t>
        </is>
      </c>
      <c r="N209" s="43" t="n">
        <v>336</v>
      </c>
      <c r="O209" s="46" t="n">
        <v>-15.0724</v>
      </c>
      <c r="P209" s="46" t="n">
        <v>-60.3091</v>
      </c>
      <c r="Q209" s="46" t="n">
        <v>35.3652</v>
      </c>
      <c r="R209" s="46" t="n">
        <v>-3.4999</v>
      </c>
      <c r="S209" s="47">
        <f>IF($I209="Yes",$O209,"")</f>
        <v/>
      </c>
    </row>
    <row r="210">
      <c r="A210" s="48" t="inlineStr">
        <is>
          <t>CF</t>
        </is>
      </c>
      <c r="B210" s="49" t="inlineStr">
        <is>
          <t>CF Industries Holdings, Inc.</t>
        </is>
      </c>
      <c r="C210" s="49" t="inlineStr">
        <is>
          <t>US</t>
        </is>
      </c>
      <c r="D210" s="49" t="inlineStr">
        <is>
          <t>S&amp;P 500</t>
        </is>
      </c>
      <c r="E210" s="49" t="inlineStr">
        <is>
          <t>Basic Materials</t>
        </is>
      </c>
      <c r="F210" s="50" t="n">
        <v>19023202304</v>
      </c>
      <c r="G210" s="49" t="inlineStr">
        <is>
          <t>nightly refresh</t>
        </is>
      </c>
      <c r="H210" s="48" t="n">
        <v>410</v>
      </c>
      <c r="I210" s="49" t="inlineStr">
        <is>
          <t>No</t>
        </is>
      </c>
      <c r="J210" s="49" t="inlineStr">
        <is>
          <t>2005-08-11</t>
        </is>
      </c>
      <c r="K210" s="48" t="n">
        <v>5292</v>
      </c>
      <c r="L210" s="49" t="inlineStr">
        <is>
          <t>2005-08-11</t>
        </is>
      </c>
      <c r="M210" s="49" t="inlineStr">
        <is>
          <t>2026-08-25</t>
        </is>
      </c>
      <c r="N210" s="48" t="n">
        <v>306</v>
      </c>
      <c r="O210" s="51" t="n">
        <v>-22.8346</v>
      </c>
      <c r="P210" s="51" t="n">
        <v>-77.1789</v>
      </c>
      <c r="Q210" s="51" t="n">
        <v>78.0866</v>
      </c>
      <c r="R210" s="51" t="n">
        <v>-9.989000000000001</v>
      </c>
      <c r="S210" s="52">
        <f>IF($I210="Yes",$O210,"")</f>
        <v/>
      </c>
    </row>
    <row r="211">
      <c r="A211" s="43" t="inlineStr">
        <is>
          <t>CRH</t>
        </is>
      </c>
      <c r="B211" s="44" t="inlineStr">
        <is>
          <t>CRH plc</t>
        </is>
      </c>
      <c r="C211" s="44" t="inlineStr">
        <is>
          <t>US</t>
        </is>
      </c>
      <c r="D211" s="44" t="inlineStr">
        <is>
          <t>S&amp;P 500</t>
        </is>
      </c>
      <c r="E211" s="44" t="inlineStr">
        <is>
          <t>Basic Materials</t>
        </is>
      </c>
      <c r="F211" s="45" t="n">
        <v>64565862400</v>
      </c>
      <c r="G211" s="44" t="inlineStr">
        <is>
          <t>nightly refresh</t>
        </is>
      </c>
      <c r="H211" s="43" t="n">
        <v>195</v>
      </c>
      <c r="I211" s="44" t="inlineStr">
        <is>
          <t>No</t>
        </is>
      </c>
      <c r="J211" s="44" t="inlineStr">
        <is>
          <t>1989-07-13</t>
        </is>
      </c>
      <c r="K211" s="43" t="n">
        <v>6701</v>
      </c>
      <c r="L211" s="44" t="inlineStr">
        <is>
          <t>2000-01-03</t>
        </is>
      </c>
      <c r="M211" s="44" t="inlineStr">
        <is>
          <t>2026-08-25</t>
        </is>
      </c>
      <c r="N211" s="43" t="n">
        <v>372</v>
      </c>
      <c r="O211" s="46" t="n">
        <v>-19.093</v>
      </c>
      <c r="P211" s="46" t="n">
        <v>-55.8132</v>
      </c>
      <c r="Q211" s="46" t="n">
        <v>45.3055</v>
      </c>
      <c r="R211" s="46" t="n">
        <v>-26.3474</v>
      </c>
      <c r="S211" s="47">
        <f>IF($I211="Yes",$O211,"")</f>
        <v/>
      </c>
    </row>
    <row r="212">
      <c r="A212" s="48" t="inlineStr">
        <is>
          <t>CTVA</t>
        </is>
      </c>
      <c r="B212" s="49" t="inlineStr">
        <is>
          <t>Corteva, Inc.</t>
        </is>
      </c>
      <c r="C212" s="49" t="inlineStr">
        <is>
          <t>US</t>
        </is>
      </c>
      <c r="D212" s="49" t="inlineStr">
        <is>
          <t>S&amp;P 500</t>
        </is>
      </c>
      <c r="E212" s="49" t="inlineStr">
        <is>
          <t>Basic Materials</t>
        </is>
      </c>
      <c r="F212" s="50" t="n">
        <v>55297204224</v>
      </c>
      <c r="G212" s="49" t="inlineStr">
        <is>
          <t>nightly refresh</t>
        </is>
      </c>
      <c r="H212" s="48" t="n">
        <v>226</v>
      </c>
      <c r="I212" s="49" t="inlineStr">
        <is>
          <t>No</t>
        </is>
      </c>
      <c r="J212" s="49" t="inlineStr">
        <is>
          <t>2019-05-24</t>
        </is>
      </c>
      <c r="K212" s="48" t="n">
        <v>1823</v>
      </c>
      <c r="L212" s="49" t="inlineStr">
        <is>
          <t>2019-05-24</t>
        </is>
      </c>
      <c r="M212" s="49" t="inlineStr">
        <is>
          <t>2026-08-25</t>
        </is>
      </c>
      <c r="N212" s="48" t="n">
        <v>101</v>
      </c>
      <c r="O212" s="51" t="n">
        <v>-15.4676</v>
      </c>
      <c r="P212" s="51" t="n">
        <v>-36.1049</v>
      </c>
      <c r="Q212" s="51" t="n">
        <v>40.7687</v>
      </c>
      <c r="R212" s="51" t="n">
        <v>-8.706200000000001</v>
      </c>
      <c r="S212" s="52">
        <f>IF($I212="Yes",$O212,"")</f>
        <v/>
      </c>
    </row>
    <row r="213">
      <c r="A213" s="43" t="inlineStr">
        <is>
          <t>DD</t>
        </is>
      </c>
      <c r="B213" s="44" t="inlineStr">
        <is>
          <t>DuPont de Nemours, Inc.</t>
        </is>
      </c>
      <c r="C213" s="44" t="inlineStr">
        <is>
          <t>US</t>
        </is>
      </c>
      <c r="D213" s="44" t="inlineStr">
        <is>
          <t>S&amp;P 500</t>
        </is>
      </c>
      <c r="E213" s="44" t="inlineStr">
        <is>
          <t>Basic Materials</t>
        </is>
      </c>
      <c r="F213" s="45" t="n">
        <v>18633228288</v>
      </c>
      <c r="G213" s="44" t="inlineStr">
        <is>
          <t>nightly refresh</t>
        </is>
      </c>
      <c r="H213" s="43" t="n">
        <v>414</v>
      </c>
      <c r="I213" s="44" t="inlineStr">
        <is>
          <t>No</t>
        </is>
      </c>
      <c r="J213" s="44" t="inlineStr">
        <is>
          <t>1972-06-01</t>
        </is>
      </c>
      <c r="K213" s="43" t="n">
        <v>6701</v>
      </c>
      <c r="L213" s="44" t="inlineStr">
        <is>
          <t>2000-01-03</t>
        </is>
      </c>
      <c r="M213" s="44" t="inlineStr">
        <is>
          <t>2026-08-25</t>
        </is>
      </c>
      <c r="N213" s="43" t="n">
        <v>348</v>
      </c>
      <c r="O213" s="46" t="n">
        <v>-19.8427</v>
      </c>
      <c r="P213" s="46" t="n">
        <v>-84.74679999999999</v>
      </c>
      <c r="Q213" s="46" t="n">
        <v>50.7987</v>
      </c>
      <c r="R213" s="46" t="n">
        <v>-13.1992</v>
      </c>
      <c r="S213" s="47">
        <f>IF($I213="Yes",$O213,"")</f>
        <v/>
      </c>
    </row>
    <row r="214">
      <c r="A214" s="48" t="inlineStr">
        <is>
          <t>DOW</t>
        </is>
      </c>
      <c r="B214" s="49" t="inlineStr">
        <is>
          <t>Dow Inc.</t>
        </is>
      </c>
      <c r="C214" s="49" t="inlineStr">
        <is>
          <t>US</t>
        </is>
      </c>
      <c r="D214" s="49" t="inlineStr">
        <is>
          <t>S&amp;P 500</t>
        </is>
      </c>
      <c r="E214" s="49" t="inlineStr">
        <is>
          <t>Basic Materials</t>
        </is>
      </c>
      <c r="F214" s="50" t="n">
        <v>21908594688</v>
      </c>
      <c r="G214" s="49" t="inlineStr">
        <is>
          <t>nightly refresh</t>
        </is>
      </c>
      <c r="H214" s="48" t="n">
        <v>390</v>
      </c>
      <c r="I214" s="49" t="inlineStr">
        <is>
          <t>No</t>
        </is>
      </c>
      <c r="J214" s="49" t="inlineStr">
        <is>
          <t>2019-03-20</t>
        </is>
      </c>
      <c r="K214" s="48" t="n">
        <v>1869</v>
      </c>
      <c r="L214" s="49" t="inlineStr">
        <is>
          <t>2019-03-20</t>
        </is>
      </c>
      <c r="M214" s="49" t="inlineStr">
        <is>
          <t>2026-08-25</t>
        </is>
      </c>
      <c r="N214" s="48" t="n">
        <v>115</v>
      </c>
      <c r="O214" s="51" t="n">
        <v>-23.2827</v>
      </c>
      <c r="P214" s="51" t="n">
        <v>-61.3931</v>
      </c>
      <c r="Q214" s="51" t="n">
        <v>44.5658</v>
      </c>
      <c r="R214" s="51" t="n">
        <v>-28.7162</v>
      </c>
      <c r="S214" s="52">
        <f>IF($I214="Yes",$O214,"")</f>
        <v/>
      </c>
    </row>
    <row r="215">
      <c r="A215" s="43" t="inlineStr">
        <is>
          <t>ECL</t>
        </is>
      </c>
      <c r="B215" s="44" t="inlineStr">
        <is>
          <t>Ecolab Inc.</t>
        </is>
      </c>
      <c r="C215" s="44" t="inlineStr">
        <is>
          <t>US</t>
        </is>
      </c>
      <c r="D215" s="44" t="inlineStr">
        <is>
          <t>S&amp;P 500</t>
        </is>
      </c>
      <c r="E215" s="44" t="inlineStr">
        <is>
          <t>Basic Materials</t>
        </is>
      </c>
      <c r="F215" s="45" t="n">
        <v>81463492608</v>
      </c>
      <c r="G215" s="44" t="inlineStr">
        <is>
          <t>nightly refresh</t>
        </is>
      </c>
      <c r="H215" s="43" t="n">
        <v>159</v>
      </c>
      <c r="I215" s="44" t="inlineStr">
        <is>
          <t>No</t>
        </is>
      </c>
      <c r="J215" s="44" t="inlineStr">
        <is>
          <t>1973-02-21</t>
        </is>
      </c>
      <c r="K215" s="43" t="n">
        <v>6701</v>
      </c>
      <c r="L215" s="44" t="inlineStr">
        <is>
          <t>2000-01-03</t>
        </is>
      </c>
      <c r="M215" s="44" t="inlineStr">
        <is>
          <t>2026-08-25</t>
        </is>
      </c>
      <c r="N215" s="43" t="n">
        <v>300</v>
      </c>
      <c r="O215" s="46" t="n">
        <v>-13.0407</v>
      </c>
      <c r="P215" s="46" t="n">
        <v>-44.3529</v>
      </c>
      <c r="Q215" s="46" t="n">
        <v>33.1618</v>
      </c>
      <c r="R215" s="46" t="n">
        <v>-6.1286</v>
      </c>
      <c r="S215" s="47">
        <f>IF($I215="Yes",$O215,"")</f>
        <v/>
      </c>
    </row>
    <row r="216">
      <c r="A216" s="48" t="inlineStr">
        <is>
          <t>FCX</t>
        </is>
      </c>
      <c r="B216" s="49" t="inlineStr">
        <is>
          <t>Freeport-McMoRan Inc.</t>
        </is>
      </c>
      <c r="C216" s="49" t="inlineStr">
        <is>
          <t>US</t>
        </is>
      </c>
      <c r="D216" s="49" t="inlineStr">
        <is>
          <t>S&amp;P 500</t>
        </is>
      </c>
      <c r="E216" s="49" t="inlineStr">
        <is>
          <t>Basic Materials</t>
        </is>
      </c>
      <c r="F216" s="50" t="n">
        <v>113445388288</v>
      </c>
      <c r="G216" s="49" t="inlineStr">
        <is>
          <t>nightly refresh</t>
        </is>
      </c>
      <c r="H216" s="48" t="n">
        <v>108</v>
      </c>
      <c r="I216" s="49" t="inlineStr">
        <is>
          <t>No</t>
        </is>
      </c>
      <c r="J216" s="49" t="inlineStr">
        <is>
          <t>1995-07-10</t>
        </is>
      </c>
      <c r="K216" s="48" t="n">
        <v>6701</v>
      </c>
      <c r="L216" s="49" t="inlineStr">
        <is>
          <t>2000-01-03</t>
        </is>
      </c>
      <c r="M216" s="49" t="inlineStr">
        <is>
          <t>2026-08-25</t>
        </is>
      </c>
      <c r="N216" s="48" t="n">
        <v>379</v>
      </c>
      <c r="O216" s="51" t="n">
        <v>-28.5935</v>
      </c>
      <c r="P216" s="51" t="n">
        <v>-86.5671</v>
      </c>
      <c r="Q216" s="51" t="n">
        <v>88.8301</v>
      </c>
      <c r="R216" s="51" t="n">
        <v>-0.0375</v>
      </c>
      <c r="S216" s="52">
        <f>IF($I216="Yes",$O216,"")</f>
        <v/>
      </c>
    </row>
    <row r="217">
      <c r="A217" s="43" t="inlineStr">
        <is>
          <t>IFF</t>
        </is>
      </c>
      <c r="B217" s="44" t="inlineStr">
        <is>
          <t>International Flavors &amp; Fragrances Inc.</t>
        </is>
      </c>
      <c r="C217" s="44" t="inlineStr">
        <is>
          <t>US</t>
        </is>
      </c>
      <c r="D217" s="44" t="inlineStr">
        <is>
          <t>S&amp;P 500</t>
        </is>
      </c>
      <c r="E217" s="44" t="inlineStr">
        <is>
          <t>Basic Materials</t>
        </is>
      </c>
      <c r="F217" s="45" t="n">
        <v>22228666368</v>
      </c>
      <c r="G217" s="44" t="inlineStr">
        <is>
          <t>nightly refresh</t>
        </is>
      </c>
      <c r="H217" s="43" t="n">
        <v>386</v>
      </c>
      <c r="I217" s="44" t="inlineStr">
        <is>
          <t>No</t>
        </is>
      </c>
      <c r="J217" s="44" t="inlineStr">
        <is>
          <t>1974-12-17</t>
        </is>
      </c>
      <c r="K217" s="43" t="n">
        <v>6701</v>
      </c>
      <c r="L217" s="44" t="inlineStr">
        <is>
          <t>2000-01-03</t>
        </is>
      </c>
      <c r="M217" s="44" t="inlineStr">
        <is>
          <t>2026-08-25</t>
        </is>
      </c>
      <c r="N217" s="43" t="n">
        <v>332</v>
      </c>
      <c r="O217" s="46" t="n">
        <v>-17.9463</v>
      </c>
      <c r="P217" s="46" t="n">
        <v>-52.5266</v>
      </c>
      <c r="Q217" s="46" t="n">
        <v>34.0573</v>
      </c>
      <c r="R217" s="46" t="n">
        <v>-2.4183</v>
      </c>
      <c r="S217" s="47">
        <f>IF($I217="Yes",$O217,"")</f>
        <v/>
      </c>
    </row>
    <row r="218">
      <c r="A218" s="48" t="inlineStr">
        <is>
          <t>LIN</t>
        </is>
      </c>
      <c r="B218" s="49" t="inlineStr">
        <is>
          <t>Linde plc</t>
        </is>
      </c>
      <c r="C218" s="49" t="inlineStr">
        <is>
          <t>US</t>
        </is>
      </c>
      <c r="D218" s="49" t="inlineStr">
        <is>
          <t>S&amp;P 500</t>
        </is>
      </c>
      <c r="E218" s="49" t="inlineStr">
        <is>
          <t>Basic Materials</t>
        </is>
      </c>
      <c r="F218" s="50" t="n">
        <v>226032402432</v>
      </c>
      <c r="G218" s="49" t="inlineStr">
        <is>
          <t>nightly refresh</t>
        </is>
      </c>
      <c r="H218" s="48" t="n">
        <v>52</v>
      </c>
      <c r="I218" s="49" t="inlineStr">
        <is>
          <t>Yes</t>
        </is>
      </c>
      <c r="J218" s="49" t="inlineStr">
        <is>
          <t>1992-06-17</t>
        </is>
      </c>
      <c r="K218" s="48" t="n">
        <v>6701</v>
      </c>
      <c r="L218" s="49" t="inlineStr">
        <is>
          <t>2000-01-03</t>
        </is>
      </c>
      <c r="M218" s="49" t="inlineStr">
        <is>
          <t>2026-08-25</t>
        </is>
      </c>
      <c r="N218" s="48" t="n">
        <v>303</v>
      </c>
      <c r="O218" s="51" t="n">
        <v>-12.8765</v>
      </c>
      <c r="P218" s="51" t="n">
        <v>-51.8724</v>
      </c>
      <c r="Q218" s="51" t="n">
        <v>34.9121</v>
      </c>
      <c r="R218" s="51" t="n">
        <v>-11.1273</v>
      </c>
      <c r="S218" s="52">
        <f>IF($I218="Yes",$O218,"")</f>
        <v/>
      </c>
    </row>
    <row r="219">
      <c r="A219" s="43" t="inlineStr">
        <is>
          <t>LYB</t>
        </is>
      </c>
      <c r="B219" s="44" t="inlineStr">
        <is>
          <t>LyondellBasell Industries N.V.</t>
        </is>
      </c>
      <c r="C219" s="44" t="inlineStr">
        <is>
          <t>US</t>
        </is>
      </c>
      <c r="D219" s="44" t="inlineStr">
        <is>
          <t>S&amp;P 500</t>
        </is>
      </c>
      <c r="E219" s="44" t="inlineStr">
        <is>
          <t>Basic Materials</t>
        </is>
      </c>
      <c r="F219" s="45" t="n">
        <v>20228636672</v>
      </c>
      <c r="G219" s="44" t="inlineStr">
        <is>
          <t>nightly refresh</t>
        </is>
      </c>
      <c r="H219" s="43" t="n">
        <v>401</v>
      </c>
      <c r="I219" s="44" t="inlineStr">
        <is>
          <t>No</t>
        </is>
      </c>
      <c r="J219" s="44" t="inlineStr">
        <is>
          <t>2010-04-28</t>
        </is>
      </c>
      <c r="K219" s="43" t="n">
        <v>4107</v>
      </c>
      <c r="L219" s="44" t="inlineStr">
        <is>
          <t>2010-04-28</t>
        </is>
      </c>
      <c r="M219" s="44" t="inlineStr">
        <is>
          <t>2026-08-25</t>
        </is>
      </c>
      <c r="N219" s="43" t="n">
        <v>240</v>
      </c>
      <c r="O219" s="46" t="n">
        <v>-20.633</v>
      </c>
      <c r="P219" s="46" t="n">
        <v>-63.7828</v>
      </c>
      <c r="Q219" s="46" t="n">
        <v>58.5476</v>
      </c>
      <c r="R219" s="46" t="n">
        <v>-24.703</v>
      </c>
      <c r="S219" s="47">
        <f>IF($I219="Yes",$O219,"")</f>
        <v/>
      </c>
    </row>
    <row r="220">
      <c r="A220" s="48" t="inlineStr">
        <is>
          <t>MLM</t>
        </is>
      </c>
      <c r="B220" s="49" t="inlineStr">
        <is>
          <t>Martin Marietta Materials, Inc.</t>
        </is>
      </c>
      <c r="C220" s="49" t="inlineStr">
        <is>
          <t>US</t>
        </is>
      </c>
      <c r="D220" s="49" t="inlineStr">
        <is>
          <t>S&amp;P 500</t>
        </is>
      </c>
      <c r="E220" s="49" t="inlineStr">
        <is>
          <t>Basic Materials</t>
        </is>
      </c>
      <c r="F220" s="50" t="n">
        <v>37795094528</v>
      </c>
      <c r="G220" s="49" t="inlineStr">
        <is>
          <t>nightly refresh</t>
        </is>
      </c>
      <c r="H220" s="48" t="n">
        <v>283</v>
      </c>
      <c r="I220" s="49" t="inlineStr">
        <is>
          <t>No</t>
        </is>
      </c>
      <c r="J220" s="49" t="inlineStr">
        <is>
          <t>1994-02-17</t>
        </is>
      </c>
      <c r="K220" s="48" t="n">
        <v>6701</v>
      </c>
      <c r="L220" s="49" t="inlineStr">
        <is>
          <t>2000-01-03</t>
        </is>
      </c>
      <c r="M220" s="49" t="inlineStr">
        <is>
          <t>2026-08-25</t>
        </is>
      </c>
      <c r="N220" s="48" t="n">
        <v>359</v>
      </c>
      <c r="O220" s="51" t="n">
        <v>-19.4121</v>
      </c>
      <c r="P220" s="51" t="n">
        <v>-57.3435</v>
      </c>
      <c r="Q220" s="51" t="n">
        <v>45.7593</v>
      </c>
      <c r="R220" s="51" t="n">
        <v>-25.0103</v>
      </c>
      <c r="S220" s="52">
        <f>IF($I220="Yes",$O220,"")</f>
        <v/>
      </c>
    </row>
    <row r="221">
      <c r="A221" s="43" t="inlineStr">
        <is>
          <t>MOS</t>
        </is>
      </c>
      <c r="B221" s="44" t="inlineStr">
        <is>
          <t>The Mosaic Company</t>
        </is>
      </c>
      <c r="C221" s="44" t="inlineStr">
        <is>
          <t>US</t>
        </is>
      </c>
      <c r="D221" s="44" t="inlineStr">
        <is>
          <t>S&amp;P 500</t>
        </is>
      </c>
      <c r="E221" s="44" t="inlineStr">
        <is>
          <t>Basic Materials</t>
        </is>
      </c>
      <c r="F221" s="45" t="n">
        <v>7680358912</v>
      </c>
      <c r="G221" s="44" t="inlineStr">
        <is>
          <t>nightly refresh</t>
        </is>
      </c>
      <c r="H221" s="43" t="n">
        <v>498</v>
      </c>
      <c r="I221" s="44" t="inlineStr">
        <is>
          <t>No</t>
        </is>
      </c>
      <c r="J221" s="44" t="inlineStr">
        <is>
          <t>1988-01-26</t>
        </is>
      </c>
      <c r="K221" s="43" t="n">
        <v>6701</v>
      </c>
      <c r="L221" s="44" t="inlineStr">
        <is>
          <t>2000-01-03</t>
        </is>
      </c>
      <c r="M221" s="44" t="inlineStr">
        <is>
          <t>2026-08-25</t>
        </is>
      </c>
      <c r="N221" s="43" t="n">
        <v>389</v>
      </c>
      <c r="O221" s="46" t="n">
        <v>-28.8479</v>
      </c>
      <c r="P221" s="46" t="n">
        <v>-86.3092</v>
      </c>
      <c r="Q221" s="46" t="n">
        <v>70.736</v>
      </c>
      <c r="R221" s="46" t="n">
        <v>-32.5488</v>
      </c>
      <c r="S221" s="47">
        <f>IF($I221="Yes",$O221,"")</f>
        <v/>
      </c>
    </row>
    <row r="222">
      <c r="A222" s="48" t="inlineStr">
        <is>
          <t>NEM</t>
        </is>
      </c>
      <c r="B222" s="49" t="inlineStr">
        <is>
          <t>Newmont Corporation</t>
        </is>
      </c>
      <c r="C222" s="49" t="inlineStr">
        <is>
          <t>US</t>
        </is>
      </c>
      <c r="D222" s="49" t="inlineStr">
        <is>
          <t>S&amp;P 500</t>
        </is>
      </c>
      <c r="E222" s="49" t="inlineStr">
        <is>
          <t>Basic Materials</t>
        </is>
      </c>
      <c r="F222" s="50" t="n">
        <v>138665918464</v>
      </c>
      <c r="G222" s="49" t="inlineStr">
        <is>
          <t>nightly refresh</t>
        </is>
      </c>
      <c r="H222" s="48" t="n">
        <v>89</v>
      </c>
      <c r="I222" s="49" t="inlineStr">
        <is>
          <t>No</t>
        </is>
      </c>
      <c r="J222" s="49" t="inlineStr">
        <is>
          <t>1980-03-17</t>
        </is>
      </c>
      <c r="K222" s="48" t="n">
        <v>6701</v>
      </c>
      <c r="L222" s="49" t="inlineStr">
        <is>
          <t>2000-01-03</t>
        </is>
      </c>
      <c r="M222" s="49" t="inlineStr">
        <is>
          <t>2026-08-25</t>
        </is>
      </c>
      <c r="N222" s="48" t="n">
        <v>400</v>
      </c>
      <c r="O222" s="51" t="n">
        <v>-23.2801</v>
      </c>
      <c r="P222" s="51" t="n">
        <v>-62.3292</v>
      </c>
      <c r="Q222" s="51" t="n">
        <v>49.7512</v>
      </c>
      <c r="R222" s="51" t="n">
        <v>-0.1109</v>
      </c>
      <c r="S222" s="52">
        <f>IF($I222="Yes",$O222,"")</f>
        <v/>
      </c>
    </row>
    <row r="223">
      <c r="A223" s="43" t="inlineStr">
        <is>
          <t>NUE</t>
        </is>
      </c>
      <c r="B223" s="44" t="inlineStr">
        <is>
          <t>Nucor Corporation</t>
        </is>
      </c>
      <c r="C223" s="44" t="inlineStr">
        <is>
          <t>US</t>
        </is>
      </c>
      <c r="D223" s="44" t="inlineStr">
        <is>
          <t>S&amp;P 500</t>
        </is>
      </c>
      <c r="E223" s="44" t="inlineStr">
        <is>
          <t>Basic Materials</t>
        </is>
      </c>
      <c r="F223" s="45" t="n">
        <v>57354174464</v>
      </c>
      <c r="G223" s="44" t="inlineStr">
        <is>
          <t>nightly refresh</t>
        </is>
      </c>
      <c r="H223" s="43" t="n">
        <v>213</v>
      </c>
      <c r="I223" s="44" t="inlineStr">
        <is>
          <t>No</t>
        </is>
      </c>
      <c r="J223" s="44" t="inlineStr">
        <is>
          <t>1980-03-17</t>
        </is>
      </c>
      <c r="K223" s="43" t="n">
        <v>6701</v>
      </c>
      <c r="L223" s="44" t="inlineStr">
        <is>
          <t>2000-01-03</t>
        </is>
      </c>
      <c r="M223" s="44" t="inlineStr">
        <is>
          <t>2026-08-25</t>
        </is>
      </c>
      <c r="N223" s="43" t="n">
        <v>387</v>
      </c>
      <c r="O223" s="46" t="n">
        <v>-20.4141</v>
      </c>
      <c r="P223" s="46" t="n">
        <v>-68.9004</v>
      </c>
      <c r="Q223" s="46" t="n">
        <v>57.1712</v>
      </c>
      <c r="R223" s="46" t="n">
        <v>-11.624</v>
      </c>
      <c r="S223" s="47">
        <f>IF($I223="Yes",$O223,"")</f>
        <v/>
      </c>
    </row>
    <row r="224">
      <c r="A224" s="48" t="inlineStr">
        <is>
          <t>PPG</t>
        </is>
      </c>
      <c r="B224" s="49" t="inlineStr">
        <is>
          <t>PPG Industries, Inc.</t>
        </is>
      </c>
      <c r="C224" s="49" t="inlineStr">
        <is>
          <t>US</t>
        </is>
      </c>
      <c r="D224" s="49" t="inlineStr">
        <is>
          <t>S&amp;P 500</t>
        </is>
      </c>
      <c r="E224" s="49" t="inlineStr">
        <is>
          <t>Basic Materials</t>
        </is>
      </c>
      <c r="F224" s="50" t="n">
        <v>25435566080</v>
      </c>
      <c r="G224" s="49" t="inlineStr">
        <is>
          <t>nightly refresh</t>
        </is>
      </c>
      <c r="H224" s="48" t="n">
        <v>358</v>
      </c>
      <c r="I224" s="49" t="inlineStr">
        <is>
          <t>No</t>
        </is>
      </c>
      <c r="J224" s="49" t="inlineStr">
        <is>
          <t>1980-03-17</t>
        </is>
      </c>
      <c r="K224" s="48" t="n">
        <v>6701</v>
      </c>
      <c r="L224" s="49" t="inlineStr">
        <is>
          <t>2000-01-03</t>
        </is>
      </c>
      <c r="M224" s="49" t="inlineStr">
        <is>
          <t>2026-08-25</t>
        </is>
      </c>
      <c r="N224" s="48" t="n">
        <v>345</v>
      </c>
      <c r="O224" s="51" t="n">
        <v>-16.8021</v>
      </c>
      <c r="P224" s="51" t="n">
        <v>-58.1523</v>
      </c>
      <c r="Q224" s="51" t="n">
        <v>36.3491</v>
      </c>
      <c r="R224" s="51" t="n">
        <v>-13.7762</v>
      </c>
      <c r="S224" s="52">
        <f>IF($I224="Yes",$O224,"")</f>
        <v/>
      </c>
    </row>
    <row r="225">
      <c r="A225" s="43" t="inlineStr">
        <is>
          <t>SHW</t>
        </is>
      </c>
      <c r="B225" s="44" t="inlineStr">
        <is>
          <t>The Sherwin-Williams Company</t>
        </is>
      </c>
      <c r="C225" s="44" t="inlineStr">
        <is>
          <t>US</t>
        </is>
      </c>
      <c r="D225" s="44" t="inlineStr">
        <is>
          <t>S&amp;P 500</t>
        </is>
      </c>
      <c r="E225" s="44" t="inlineStr">
        <is>
          <t>Basic Materials</t>
        </is>
      </c>
      <c r="F225" s="45" t="n">
        <v>84640055296</v>
      </c>
      <c r="G225" s="44" t="inlineStr">
        <is>
          <t>nightly refresh</t>
        </is>
      </c>
      <c r="H225" s="43" t="n">
        <v>151</v>
      </c>
      <c r="I225" s="44" t="inlineStr">
        <is>
          <t>No</t>
        </is>
      </c>
      <c r="J225" s="44" t="inlineStr">
        <is>
          <t>1980-03-17</t>
        </is>
      </c>
      <c r="K225" s="43" t="n">
        <v>6701</v>
      </c>
      <c r="L225" s="44" t="inlineStr">
        <is>
          <t>2000-01-03</t>
        </is>
      </c>
      <c r="M225" s="44" t="inlineStr">
        <is>
          <t>2026-08-25</t>
        </is>
      </c>
      <c r="N225" s="43" t="n">
        <v>306</v>
      </c>
      <c r="O225" s="46" t="n">
        <v>-14.7398</v>
      </c>
      <c r="P225" s="46" t="n">
        <v>-42.7819</v>
      </c>
      <c r="Q225" s="46" t="n">
        <v>41.8338</v>
      </c>
      <c r="R225" s="46" t="n">
        <v>-6.7857</v>
      </c>
      <c r="S225" s="47">
        <f>IF($I225="Yes",$O225,"")</f>
        <v/>
      </c>
    </row>
    <row r="226">
      <c r="A226" s="48" t="inlineStr">
        <is>
          <t>STLD</t>
        </is>
      </c>
      <c r="B226" s="49" t="inlineStr">
        <is>
          <t>Steel Dynamics, Inc.</t>
        </is>
      </c>
      <c r="C226" s="49" t="inlineStr">
        <is>
          <t>US</t>
        </is>
      </c>
      <c r="D226" s="49" t="inlineStr">
        <is>
          <t>S&amp;P 500</t>
        </is>
      </c>
      <c r="E226" s="49" t="inlineStr">
        <is>
          <t>Basic Materials</t>
        </is>
      </c>
      <c r="F226" s="50" t="n">
        <v>33811097600</v>
      </c>
      <c r="G226" s="49" t="inlineStr">
        <is>
          <t>nightly refresh</t>
        </is>
      </c>
      <c r="H226" s="48" t="n">
        <v>302</v>
      </c>
      <c r="I226" s="49" t="inlineStr">
        <is>
          <t>No</t>
        </is>
      </c>
      <c r="J226" s="49" t="inlineStr">
        <is>
          <t>1996-11-22</t>
        </is>
      </c>
      <c r="K226" s="48" t="n">
        <v>6701</v>
      </c>
      <c r="L226" s="49" t="inlineStr">
        <is>
          <t>2000-01-03</t>
        </is>
      </c>
      <c r="M226" s="49" t="inlineStr">
        <is>
          <t>2026-08-25</t>
        </is>
      </c>
      <c r="N226" s="48" t="n">
        <v>398</v>
      </c>
      <c r="O226" s="51" t="n">
        <v>-23.5293</v>
      </c>
      <c r="P226" s="51" t="n">
        <v>-87.1247</v>
      </c>
      <c r="Q226" s="51" t="n">
        <v>73.0338</v>
      </c>
      <c r="R226" s="51" t="n">
        <v>-19.788</v>
      </c>
      <c r="S226" s="52">
        <f>IF($I226="Yes",$O226,"")</f>
        <v/>
      </c>
    </row>
    <row r="227">
      <c r="A227" s="43" t="inlineStr">
        <is>
          <t>VMC</t>
        </is>
      </c>
      <c r="B227" s="44" t="inlineStr">
        <is>
          <t>Vulcan Materials Company</t>
        </is>
      </c>
      <c r="C227" s="44" t="inlineStr">
        <is>
          <t>US</t>
        </is>
      </c>
      <c r="D227" s="44" t="inlineStr">
        <is>
          <t>S&amp;P 500</t>
        </is>
      </c>
      <c r="E227" s="44" t="inlineStr">
        <is>
          <t>Basic Materials</t>
        </is>
      </c>
      <c r="F227" s="45" t="n">
        <v>35470880768</v>
      </c>
      <c r="G227" s="44" t="inlineStr">
        <is>
          <t>nightly refresh</t>
        </is>
      </c>
      <c r="H227" s="43" t="n">
        <v>291</v>
      </c>
      <c r="I227" s="44" t="inlineStr">
        <is>
          <t>No</t>
        </is>
      </c>
      <c r="J227" s="44" t="inlineStr">
        <is>
          <t>1973-02-21</t>
        </is>
      </c>
      <c r="K227" s="43" t="n">
        <v>6701</v>
      </c>
      <c r="L227" s="44" t="inlineStr">
        <is>
          <t>2000-01-03</t>
        </is>
      </c>
      <c r="M227" s="44" t="inlineStr">
        <is>
          <t>2026-08-25</t>
        </is>
      </c>
      <c r="N227" s="43" t="n">
        <v>357</v>
      </c>
      <c r="O227" s="46" t="n">
        <v>-19.494</v>
      </c>
      <c r="P227" s="46" t="n">
        <v>-57.6955</v>
      </c>
      <c r="Q227" s="46" t="n">
        <v>44.1955</v>
      </c>
      <c r="R227" s="46" t="n">
        <v>-16.8941</v>
      </c>
      <c r="S227" s="47">
        <f>IF($I227="Yes",$O227,"")</f>
        <v/>
      </c>
    </row>
    <row r="228">
      <c r="A228" s="48" t="inlineStr">
        <is>
          <t>APP</t>
        </is>
      </c>
      <c r="B228" s="49" t="inlineStr">
        <is>
          <t>AppLovin Corporation</t>
        </is>
      </c>
      <c r="C228" s="49" t="inlineStr">
        <is>
          <t>US</t>
        </is>
      </c>
      <c r="D228" s="49" t="inlineStr">
        <is>
          <t>S&amp;P 500</t>
        </is>
      </c>
      <c r="E228" s="49" t="inlineStr">
        <is>
          <t>Communication Services</t>
        </is>
      </c>
      <c r="F228" s="50" t="n">
        <v>103506321408</v>
      </c>
      <c r="G228" s="49" t="inlineStr">
        <is>
          <t>nightly refresh</t>
        </is>
      </c>
      <c r="H228" s="48" t="n">
        <v>117</v>
      </c>
      <c r="I228" s="49" t="inlineStr">
        <is>
          <t>No</t>
        </is>
      </c>
      <c r="J228" s="49" t="inlineStr">
        <is>
          <t>2021-04-15</t>
        </is>
      </c>
      <c r="K228" s="48" t="n">
        <v>1347</v>
      </c>
      <c r="L228" s="49" t="inlineStr">
        <is>
          <t>2021-04-15</t>
        </is>
      </c>
      <c r="M228" s="49" t="inlineStr">
        <is>
          <t>2026-08-25</t>
        </is>
      </c>
      <c r="N228" s="48" t="n">
        <v>73</v>
      </c>
      <c r="O228" s="51" t="n">
        <v>-38.6514</v>
      </c>
      <c r="P228" s="51" t="n">
        <v>-90.52370000000001</v>
      </c>
      <c r="Q228" s="51" t="n">
        <v>230.8349</v>
      </c>
      <c r="R228" s="51" t="n">
        <v>-58.3509</v>
      </c>
      <c r="S228" s="52">
        <f>IF($I228="Yes",$O228,"")</f>
        <v/>
      </c>
    </row>
    <row r="229">
      <c r="A229" s="43" t="inlineStr">
        <is>
          <t>CHTR</t>
        </is>
      </c>
      <c r="B229" s="44" t="inlineStr">
        <is>
          <t>Charter Communications, Inc.</t>
        </is>
      </c>
      <c r="C229" s="44" t="inlineStr">
        <is>
          <t>US</t>
        </is>
      </c>
      <c r="D229" s="44" t="inlineStr">
        <is>
          <t>S&amp;P 500</t>
        </is>
      </c>
      <c r="E229" s="44" t="inlineStr">
        <is>
          <t>Communication Services</t>
        </is>
      </c>
      <c r="F229" s="45" t="n">
        <v>20740907008</v>
      </c>
      <c r="G229" s="44" t="inlineStr">
        <is>
          <t>nightly refresh</t>
        </is>
      </c>
      <c r="H229" s="43" t="n">
        <v>398</v>
      </c>
      <c r="I229" s="44" t="inlineStr">
        <is>
          <t>No</t>
        </is>
      </c>
      <c r="J229" s="44" t="inlineStr">
        <is>
          <t>2010-01-05</t>
        </is>
      </c>
      <c r="K229" s="43" t="n">
        <v>4185</v>
      </c>
      <c r="L229" s="44" t="inlineStr">
        <is>
          <t>2010-01-05</t>
        </is>
      </c>
      <c r="M229" s="44" t="inlineStr">
        <is>
          <t>2026-08-25</t>
        </is>
      </c>
      <c r="N229" s="43" t="n">
        <v>212</v>
      </c>
      <c r="O229" s="46" t="n">
        <v>-21.1396</v>
      </c>
      <c r="P229" s="46" t="n">
        <v>-70.27160000000001</v>
      </c>
      <c r="Q229" s="46" t="n">
        <v>47.7493</v>
      </c>
      <c r="R229" s="46" t="n">
        <v>-45.7211</v>
      </c>
      <c r="S229" s="47">
        <f>IF($I229="Yes",$O229,"")</f>
        <v/>
      </c>
    </row>
    <row r="230">
      <c r="A230" s="48" t="inlineStr">
        <is>
          <t>CMCSA</t>
        </is>
      </c>
      <c r="B230" s="49" t="inlineStr">
        <is>
          <t>Comcast Corporation</t>
        </is>
      </c>
      <c r="C230" s="49" t="inlineStr">
        <is>
          <t>US</t>
        </is>
      </c>
      <c r="D230" s="49" t="inlineStr">
        <is>
          <t>S&amp;P 500</t>
        </is>
      </c>
      <c r="E230" s="49" t="inlineStr">
        <is>
          <t>Communication Services</t>
        </is>
      </c>
      <c r="F230" s="50" t="n">
        <v>96522919936</v>
      </c>
      <c r="G230" s="49" t="inlineStr">
        <is>
          <t>nightly refresh</t>
        </is>
      </c>
      <c r="H230" s="48" t="n">
        <v>132</v>
      </c>
      <c r="I230" s="49" t="inlineStr">
        <is>
          <t>No</t>
        </is>
      </c>
      <c r="J230" s="49" t="inlineStr">
        <is>
          <t>1980-03-17</t>
        </is>
      </c>
      <c r="K230" s="48" t="n">
        <v>6701</v>
      </c>
      <c r="L230" s="49" t="inlineStr">
        <is>
          <t>2000-01-03</t>
        </is>
      </c>
      <c r="M230" s="49" t="inlineStr">
        <is>
          <t>2026-08-25</t>
        </is>
      </c>
      <c r="N230" s="48" t="n">
        <v>347</v>
      </c>
      <c r="O230" s="51" t="n">
        <v>-20.4508</v>
      </c>
      <c r="P230" s="51" t="n">
        <v>-57.1006</v>
      </c>
      <c r="Q230" s="51" t="n">
        <v>35.4401</v>
      </c>
      <c r="R230" s="51" t="n">
        <v>-16.5699</v>
      </c>
      <c r="S230" s="52">
        <f>IF($I230="Yes",$O230,"")</f>
        <v/>
      </c>
    </row>
    <row r="231">
      <c r="A231" s="43" t="inlineStr">
        <is>
          <t>DIS</t>
        </is>
      </c>
      <c r="B231" s="44" t="inlineStr">
        <is>
          <t>The Walt Disney Company</t>
        </is>
      </c>
      <c r="C231" s="44" t="inlineStr">
        <is>
          <t>US</t>
        </is>
      </c>
      <c r="D231" s="44" t="inlineStr">
        <is>
          <t>S&amp;P 500</t>
        </is>
      </c>
      <c r="E231" s="44" t="inlineStr">
        <is>
          <t>Communication Services</t>
        </is>
      </c>
      <c r="F231" s="45" t="n">
        <v>189296672768</v>
      </c>
      <c r="G231" s="44" t="inlineStr">
        <is>
          <t>nightly refresh</t>
        </is>
      </c>
      <c r="H231" s="43" t="n">
        <v>66</v>
      </c>
      <c r="I231" s="44" t="inlineStr">
        <is>
          <t>No</t>
        </is>
      </c>
      <c r="J231" s="44" t="inlineStr">
        <is>
          <t>1962-01-02</t>
        </is>
      </c>
      <c r="K231" s="43" t="n">
        <v>6701</v>
      </c>
      <c r="L231" s="44" t="inlineStr">
        <is>
          <t>2000-01-03</t>
        </is>
      </c>
      <c r="M231" s="44" t="inlineStr">
        <is>
          <t>2026-08-25</t>
        </is>
      </c>
      <c r="N231" s="43" t="n">
        <v>335</v>
      </c>
      <c r="O231" s="46" t="n">
        <v>-20.2074</v>
      </c>
      <c r="P231" s="46" t="n">
        <v>-59.2322</v>
      </c>
      <c r="Q231" s="46" t="n">
        <v>37.1219</v>
      </c>
      <c r="R231" s="46" t="n">
        <v>-6.493</v>
      </c>
      <c r="S231" s="47">
        <f>IF($I231="Yes",$O231,"")</f>
        <v/>
      </c>
    </row>
    <row r="232">
      <c r="A232" s="48" t="inlineStr">
        <is>
          <t>ECHO</t>
        </is>
      </c>
      <c r="B232" s="49" t="inlineStr">
        <is>
          <t>EchoStar Corporation</t>
        </is>
      </c>
      <c r="C232" s="49" t="inlineStr">
        <is>
          <t>US</t>
        </is>
      </c>
      <c r="D232" s="49" t="inlineStr">
        <is>
          <t>S&amp;P 500</t>
        </is>
      </c>
      <c r="E232" s="49" t="inlineStr">
        <is>
          <t>Communication Services</t>
        </is>
      </c>
      <c r="F232" s="50" t="n">
        <v>24868911104</v>
      </c>
      <c r="G232" s="49" t="inlineStr">
        <is>
          <t>nightly refresh</t>
        </is>
      </c>
      <c r="H232" s="48" t="n">
        <v>361</v>
      </c>
      <c r="I232" s="49" t="inlineStr">
        <is>
          <t>No</t>
        </is>
      </c>
      <c r="J232" s="49" t="inlineStr">
        <is>
          <t>2008-01-02</t>
        </is>
      </c>
      <c r="K232" s="48" t="n">
        <v>4691</v>
      </c>
      <c r="L232" s="49" t="inlineStr">
        <is>
          <t>2008-01-02</t>
        </is>
      </c>
      <c r="M232" s="49" t="inlineStr">
        <is>
          <t>2026-08-25</t>
        </is>
      </c>
      <c r="N232" s="48" t="n">
        <v>245</v>
      </c>
      <c r="O232" s="51" t="n">
        <v>-26.6621</v>
      </c>
      <c r="P232" s="51" t="n">
        <v>-68.759</v>
      </c>
      <c r="Q232" s="51" t="n">
        <v>79.1819</v>
      </c>
      <c r="R232" s="51" t="n">
        <v>-41.2428</v>
      </c>
      <c r="S232" s="52">
        <f>IF($I232="Yes",$O232,"")</f>
        <v/>
      </c>
    </row>
    <row r="233">
      <c r="A233" s="43" t="inlineStr">
        <is>
          <t>FOX</t>
        </is>
      </c>
      <c r="B233" s="44" t="inlineStr">
        <is>
          <t>Fox Corporation</t>
        </is>
      </c>
      <c r="C233" s="44" t="inlineStr">
        <is>
          <t>US</t>
        </is>
      </c>
      <c r="D233" s="44" t="inlineStr">
        <is>
          <t>S&amp;P 500</t>
        </is>
      </c>
      <c r="E233" s="44" t="inlineStr">
        <is>
          <t>Communication Services</t>
        </is>
      </c>
      <c r="F233" s="45" t="n">
        <v>26163824640</v>
      </c>
      <c r="G233" s="44" t="inlineStr">
        <is>
          <t>nightly refresh</t>
        </is>
      </c>
      <c r="H233" s="43" t="n">
        <v>349</v>
      </c>
      <c r="I233" s="44" t="inlineStr">
        <is>
          <t>No</t>
        </is>
      </c>
      <c r="J233" s="44" t="inlineStr">
        <is>
          <t>2019-03-13</t>
        </is>
      </c>
      <c r="K233" s="43" t="n">
        <v>1874</v>
      </c>
      <c r="L233" s="44" t="inlineStr">
        <is>
          <t>2019-03-13</t>
        </is>
      </c>
      <c r="M233" s="44" t="inlineStr">
        <is>
          <t>2026-08-25</t>
        </is>
      </c>
      <c r="N233" s="43" t="n">
        <v>100</v>
      </c>
      <c r="O233" s="46" t="n">
        <v>-20.9614</v>
      </c>
      <c r="P233" s="46" t="n">
        <v>-48.6242</v>
      </c>
      <c r="Q233" s="46" t="n">
        <v>35.7128</v>
      </c>
      <c r="R233" s="46" t="n">
        <v>-7.5513</v>
      </c>
      <c r="S233" s="47">
        <f>IF($I233="Yes",$O233,"")</f>
        <v/>
      </c>
    </row>
    <row r="234">
      <c r="A234" s="48" t="inlineStr">
        <is>
          <t>FOXA</t>
        </is>
      </c>
      <c r="B234" s="49" t="inlineStr">
        <is>
          <t>Fox Corporation</t>
        </is>
      </c>
      <c r="C234" s="49" t="inlineStr">
        <is>
          <t>US</t>
        </is>
      </c>
      <c r="D234" s="49" t="inlineStr">
        <is>
          <t>S&amp;P 500</t>
        </is>
      </c>
      <c r="E234" s="49" t="inlineStr">
        <is>
          <t>Communication Services</t>
        </is>
      </c>
      <c r="F234" s="50" t="n">
        <v>29262446592</v>
      </c>
      <c r="G234" s="49" t="inlineStr">
        <is>
          <t>nightly refresh</t>
        </is>
      </c>
      <c r="H234" s="48" t="n">
        <v>323</v>
      </c>
      <c r="I234" s="49" t="inlineStr">
        <is>
          <t>No</t>
        </is>
      </c>
      <c r="J234" s="49" t="inlineStr">
        <is>
          <t>2019-03-12</t>
        </is>
      </c>
      <c r="K234" s="48" t="n">
        <v>1875</v>
      </c>
      <c r="L234" s="49" t="inlineStr">
        <is>
          <t>2019-03-12</t>
        </is>
      </c>
      <c r="M234" s="49" t="inlineStr">
        <is>
          <t>2026-08-25</t>
        </is>
      </c>
      <c r="N234" s="48" t="n">
        <v>108</v>
      </c>
      <c r="O234" s="51" t="n">
        <v>-20.6397</v>
      </c>
      <c r="P234" s="51" t="n">
        <v>-48.7964</v>
      </c>
      <c r="Q234" s="51" t="n">
        <v>36.8535</v>
      </c>
      <c r="R234" s="51" t="n">
        <v>-7.4813</v>
      </c>
      <c r="S234" s="52">
        <f>IF($I234="Yes",$O234,"")</f>
        <v/>
      </c>
    </row>
    <row r="235">
      <c r="A235" s="43" t="inlineStr">
        <is>
          <t>GOOG</t>
        </is>
      </c>
      <c r="B235" s="44" t="inlineStr">
        <is>
          <t>Alphabet Inc.</t>
        </is>
      </c>
      <c r="C235" s="44" t="inlineStr">
        <is>
          <t>US</t>
        </is>
      </c>
      <c r="D235" s="44" t="inlineStr">
        <is>
          <t>S&amp;P 500</t>
        </is>
      </c>
      <c r="E235" s="44" t="inlineStr">
        <is>
          <t>Communication Services</t>
        </is>
      </c>
      <c r="F235" s="45" t="n">
        <v>4147171033088</v>
      </c>
      <c r="G235" s="44" t="inlineStr">
        <is>
          <t>nightly refresh</t>
        </is>
      </c>
      <c r="H235" s="43" t="n">
        <v>4</v>
      </c>
      <c r="I235" s="44" t="inlineStr">
        <is>
          <t>Yes</t>
        </is>
      </c>
      <c r="J235" s="44" t="inlineStr">
        <is>
          <t>2004-08-19</t>
        </is>
      </c>
      <c r="K235" s="43" t="n">
        <v>5539</v>
      </c>
      <c r="L235" s="44" t="inlineStr">
        <is>
          <t>2004-08-19</t>
        </is>
      </c>
      <c r="M235" s="44" t="inlineStr">
        <is>
          <t>2026-08-25</t>
        </is>
      </c>
      <c r="N235" s="43" t="n">
        <v>279</v>
      </c>
      <c r="O235" s="46" t="n">
        <v>-16.0007</v>
      </c>
      <c r="P235" s="46" t="n">
        <v>-64.4812</v>
      </c>
      <c r="Q235" s="46" t="n">
        <v>53.5322</v>
      </c>
      <c r="R235" s="46" t="n">
        <v>-15.0625</v>
      </c>
      <c r="S235" s="47">
        <f>IF($I235="Yes",$O235,"")</f>
        <v/>
      </c>
    </row>
    <row r="236">
      <c r="A236" s="48" t="inlineStr">
        <is>
          <t>GOOGL</t>
        </is>
      </c>
      <c r="B236" s="49" t="inlineStr">
        <is>
          <t>Alphabet Inc.</t>
        </is>
      </c>
      <c r="C236" s="49" t="inlineStr">
        <is>
          <t>US</t>
        </is>
      </c>
      <c r="D236" s="49" t="inlineStr">
        <is>
          <t>S&amp;P 500</t>
        </is>
      </c>
      <c r="E236" s="49" t="inlineStr">
        <is>
          <t>Communication Services</t>
        </is>
      </c>
      <c r="F236" s="50" t="n">
        <v>4182637805568</v>
      </c>
      <c r="G236" s="49" t="inlineStr">
        <is>
          <t>nightly refresh</t>
        </is>
      </c>
      <c r="H236" s="48" t="n">
        <v>3</v>
      </c>
      <c r="I236" s="49" t="inlineStr">
        <is>
          <t>Yes</t>
        </is>
      </c>
      <c r="J236" s="49" t="inlineStr">
        <is>
          <t>2004-08-19</t>
        </is>
      </c>
      <c r="K236" s="48" t="n">
        <v>5539</v>
      </c>
      <c r="L236" s="49" t="inlineStr">
        <is>
          <t>2004-08-19</t>
        </is>
      </c>
      <c r="M236" s="49" t="inlineStr">
        <is>
          <t>2026-08-25</t>
        </is>
      </c>
      <c r="N236" s="48" t="n">
        <v>288</v>
      </c>
      <c r="O236" s="51" t="n">
        <v>-15.8263</v>
      </c>
      <c r="P236" s="51" t="n">
        <v>-64.4812</v>
      </c>
      <c r="Q236" s="51" t="n">
        <v>53.8685</v>
      </c>
      <c r="R236" s="51" t="n">
        <v>-15.037</v>
      </c>
      <c r="S236" s="52">
        <f>IF($I236="Yes",$O236,"")</f>
        <v/>
      </c>
    </row>
    <row r="237">
      <c r="A237" s="43" t="inlineStr">
        <is>
          <t>LYV</t>
        </is>
      </c>
      <c r="B237" s="44" t="inlineStr">
        <is>
          <t>Live Nation Entertainment, Inc.</t>
        </is>
      </c>
      <c r="C237" s="44" t="inlineStr">
        <is>
          <t>US</t>
        </is>
      </c>
      <c r="D237" s="44" t="inlineStr">
        <is>
          <t>S&amp;P 500</t>
        </is>
      </c>
      <c r="E237" s="44" t="inlineStr">
        <is>
          <t>Communication Services</t>
        </is>
      </c>
      <c r="F237" s="45" t="n">
        <v>42547724288</v>
      </c>
      <c r="G237" s="44" t="inlineStr">
        <is>
          <t>nightly refresh</t>
        </is>
      </c>
      <c r="H237" s="43" t="n">
        <v>263</v>
      </c>
      <c r="I237" s="44" t="inlineStr">
        <is>
          <t>No</t>
        </is>
      </c>
      <c r="J237" s="44" t="inlineStr">
        <is>
          <t>2005-12-21</t>
        </is>
      </c>
      <c r="K237" s="43" t="n">
        <v>5200</v>
      </c>
      <c r="L237" s="44" t="inlineStr">
        <is>
          <t>2005-12-21</t>
        </is>
      </c>
      <c r="M237" s="44" t="inlineStr">
        <is>
          <t>2026-08-25</t>
        </is>
      </c>
      <c r="N237" s="43" t="n">
        <v>294</v>
      </c>
      <c r="O237" s="46" t="n">
        <v>-24.0326</v>
      </c>
      <c r="P237" s="46" t="n">
        <v>-86.56</v>
      </c>
      <c r="Q237" s="46" t="n">
        <v>70.0925</v>
      </c>
      <c r="R237" s="46" t="n">
        <v>-1.3104</v>
      </c>
      <c r="S237" s="47">
        <f>IF($I237="Yes",$O237,"")</f>
        <v/>
      </c>
    </row>
    <row r="238">
      <c r="A238" s="48" t="inlineStr">
        <is>
          <t>META</t>
        </is>
      </c>
      <c r="B238" s="49" t="inlineStr">
        <is>
          <t>Meta Platforms, Inc.</t>
        </is>
      </c>
      <c r="C238" s="49" t="inlineStr">
        <is>
          <t>US</t>
        </is>
      </c>
      <c r="D238" s="49" t="inlineStr">
        <is>
          <t>S&amp;P 500</t>
        </is>
      </c>
      <c r="E238" s="49" t="inlineStr">
        <is>
          <t>Communication Services</t>
        </is>
      </c>
      <c r="F238" s="50" t="n">
        <v>1467720269824</v>
      </c>
      <c r="G238" s="49" t="inlineStr">
        <is>
          <t>nightly refresh</t>
        </is>
      </c>
      <c r="H238" s="48" t="n">
        <v>8</v>
      </c>
      <c r="I238" s="49" t="inlineStr">
        <is>
          <t>Yes</t>
        </is>
      </c>
      <c r="J238" s="49" t="inlineStr">
        <is>
          <t>2012-05-18</t>
        </is>
      </c>
      <c r="K238" s="48" t="n">
        <v>3587</v>
      </c>
      <c r="L238" s="49" t="inlineStr">
        <is>
          <t>2012-05-18</t>
        </is>
      </c>
      <c r="M238" s="49" t="inlineStr">
        <is>
          <t>2026-08-25</t>
        </is>
      </c>
      <c r="N238" s="48" t="n">
        <v>189</v>
      </c>
      <c r="O238" s="51" t="n">
        <v>-21.7465</v>
      </c>
      <c r="P238" s="51" t="n">
        <v>-74.8721</v>
      </c>
      <c r="Q238" s="51" t="n">
        <v>75.12439999999999</v>
      </c>
      <c r="R238" s="51" t="n">
        <v>-27.7455</v>
      </c>
      <c r="S238" s="52">
        <f>IF($I238="Yes",$O238,"")</f>
        <v/>
      </c>
    </row>
    <row r="239">
      <c r="A239" s="43" t="inlineStr">
        <is>
          <t>NFLX</t>
        </is>
      </c>
      <c r="B239" s="44" t="inlineStr">
        <is>
          <t>Netflix, Inc.</t>
        </is>
      </c>
      <c r="C239" s="44" t="inlineStr">
        <is>
          <t>US</t>
        </is>
      </c>
      <c r="D239" s="44" t="inlineStr">
        <is>
          <t>S&amp;P 500</t>
        </is>
      </c>
      <c r="E239" s="44" t="inlineStr">
        <is>
          <t>Communication Services</t>
        </is>
      </c>
      <c r="F239" s="45" t="n">
        <v>339194511360</v>
      </c>
      <c r="G239" s="44" t="inlineStr">
        <is>
          <t>nightly refresh</t>
        </is>
      </c>
      <c r="H239" s="43" t="n">
        <v>35</v>
      </c>
      <c r="I239" s="44" t="inlineStr">
        <is>
          <t>Yes</t>
        </is>
      </c>
      <c r="J239" s="44" t="inlineStr">
        <is>
          <t>2002-05-23</t>
        </is>
      </c>
      <c r="K239" s="43" t="n">
        <v>6103</v>
      </c>
      <c r="L239" s="44" t="inlineStr">
        <is>
          <t>2002-05-23</t>
        </is>
      </c>
      <c r="M239" s="44" t="inlineStr">
        <is>
          <t>2026-08-25</t>
        </is>
      </c>
      <c r="N239" s="43" t="n">
        <v>335</v>
      </c>
      <c r="O239" s="46" t="n">
        <v>-26.7787</v>
      </c>
      <c r="P239" s="46" t="n">
        <v>-79.44159999999999</v>
      </c>
      <c r="Q239" s="46" t="n">
        <v>121.0239</v>
      </c>
      <c r="R239" s="46" t="n">
        <v>-35.1038</v>
      </c>
      <c r="S239" s="47">
        <f>IF($I239="Yes",$O239,"")</f>
        <v/>
      </c>
    </row>
    <row r="240">
      <c r="A240" s="48" t="inlineStr">
        <is>
          <t>NWS</t>
        </is>
      </c>
      <c r="B240" s="49" t="inlineStr">
        <is>
          <t>News Corporation</t>
        </is>
      </c>
      <c r="C240" s="49" t="inlineStr">
        <is>
          <t>US</t>
        </is>
      </c>
      <c r="D240" s="49" t="inlineStr">
        <is>
          <t>S&amp;P 500</t>
        </is>
      </c>
      <c r="E240" s="49" t="inlineStr">
        <is>
          <t>Communication Services</t>
        </is>
      </c>
      <c r="F240" s="50" t="n">
        <v>18932086784</v>
      </c>
      <c r="G240" s="49" t="inlineStr">
        <is>
          <t>nightly refresh</t>
        </is>
      </c>
      <c r="H240" s="48" t="n">
        <v>412</v>
      </c>
      <c r="I240" s="49" t="inlineStr">
        <is>
          <t>No</t>
        </is>
      </c>
      <c r="J240" s="49" t="inlineStr">
        <is>
          <t>2013-06-19</t>
        </is>
      </c>
      <c r="K240" s="48" t="n">
        <v>3316</v>
      </c>
      <c r="L240" s="49" t="inlineStr">
        <is>
          <t>2013-06-19</t>
        </is>
      </c>
      <c r="M240" s="49" t="inlineStr">
        <is>
          <t>2026-08-25</t>
        </is>
      </c>
      <c r="N240" s="48" t="n">
        <v>168</v>
      </c>
      <c r="O240" s="51" t="n">
        <v>-17.6798</v>
      </c>
      <c r="P240" s="51" t="n">
        <v>-46.4951</v>
      </c>
      <c r="Q240" s="51" t="n">
        <v>38.0553</v>
      </c>
      <c r="R240" s="51" t="n">
        <v>-0.4531</v>
      </c>
      <c r="S240" s="52">
        <f>IF($I240="Yes",$O240,"")</f>
        <v/>
      </c>
    </row>
    <row r="241">
      <c r="A241" s="43" t="inlineStr">
        <is>
          <t>NWSA</t>
        </is>
      </c>
      <c r="B241" s="44" t="inlineStr">
        <is>
          <t>News Corporation</t>
        </is>
      </c>
      <c r="C241" s="44" t="inlineStr">
        <is>
          <t>US</t>
        </is>
      </c>
      <c r="D241" s="44" t="inlineStr">
        <is>
          <t>S&amp;P 500</t>
        </is>
      </c>
      <c r="E241" s="44" t="inlineStr">
        <is>
          <t>Communication Services</t>
        </is>
      </c>
      <c r="F241" s="45" t="n">
        <v>16632727552</v>
      </c>
      <c r="G241" s="44" t="inlineStr">
        <is>
          <t>nightly refresh</t>
        </is>
      </c>
      <c r="H241" s="43" t="n">
        <v>432</v>
      </c>
      <c r="I241" s="44" t="inlineStr">
        <is>
          <t>No</t>
        </is>
      </c>
      <c r="J241" s="44" t="inlineStr">
        <is>
          <t>2013-06-19</t>
        </is>
      </c>
      <c r="K241" s="43" t="n">
        <v>3316</v>
      </c>
      <c r="L241" s="44" t="inlineStr">
        <is>
          <t>2013-06-19</t>
        </is>
      </c>
      <c r="M241" s="44" t="inlineStr">
        <is>
          <t>2026-08-25</t>
        </is>
      </c>
      <c r="N241" s="43" t="n">
        <v>178</v>
      </c>
      <c r="O241" s="46" t="n">
        <v>-17.75</v>
      </c>
      <c r="P241" s="46" t="n">
        <v>-45.1793</v>
      </c>
      <c r="Q241" s="46" t="n">
        <v>36.3815</v>
      </c>
      <c r="R241" s="46" t="n">
        <v>-1.7741</v>
      </c>
      <c r="S241" s="47">
        <f>IF($I241="Yes",$O241,"")</f>
        <v/>
      </c>
    </row>
    <row r="242">
      <c r="A242" s="48" t="inlineStr">
        <is>
          <t>OMC</t>
        </is>
      </c>
      <c r="B242" s="49" t="inlineStr">
        <is>
          <t>Omnicom Group Inc.</t>
        </is>
      </c>
      <c r="C242" s="49" t="inlineStr">
        <is>
          <t>US</t>
        </is>
      </c>
      <c r="D242" s="49" t="inlineStr">
        <is>
          <t>S&amp;P 500</t>
        </is>
      </c>
      <c r="E242" s="49" t="inlineStr">
        <is>
          <t>Communication Services</t>
        </is>
      </c>
      <c r="F242" s="50" t="n">
        <v>24112265216</v>
      </c>
      <c r="G242" s="49" t="inlineStr">
        <is>
          <t>nightly refresh</t>
        </is>
      </c>
      <c r="H242" s="48" t="n">
        <v>374</v>
      </c>
      <c r="I242" s="49" t="inlineStr">
        <is>
          <t>No</t>
        </is>
      </c>
      <c r="J242" s="49" t="inlineStr">
        <is>
          <t>1980-03-17</t>
        </is>
      </c>
      <c r="K242" s="48" t="n">
        <v>6701</v>
      </c>
      <c r="L242" s="49" t="inlineStr">
        <is>
          <t>2000-01-03</t>
        </is>
      </c>
      <c r="M242" s="49" t="inlineStr">
        <is>
          <t>2026-08-25</t>
        </is>
      </c>
      <c r="N242" s="48" t="n">
        <v>355</v>
      </c>
      <c r="O242" s="51" t="n">
        <v>-17.3075</v>
      </c>
      <c r="P242" s="51" t="n">
        <v>-57.9602</v>
      </c>
      <c r="Q242" s="51" t="n">
        <v>34.6057</v>
      </c>
      <c r="R242" s="51" t="n">
        <v>-1.5295</v>
      </c>
      <c r="S242" s="52">
        <f>IF($I242="Yes",$O242,"")</f>
        <v/>
      </c>
    </row>
    <row r="243">
      <c r="A243" s="43" t="inlineStr">
        <is>
          <t>PSKY</t>
        </is>
      </c>
      <c r="B243" s="44" t="inlineStr">
        <is>
          <t>Paramount Skydance Corporation</t>
        </is>
      </c>
      <c r="C243" s="44" t="inlineStr">
        <is>
          <t>US</t>
        </is>
      </c>
      <c r="D243" s="44" t="inlineStr">
        <is>
          <t>S&amp;P 500</t>
        </is>
      </c>
      <c r="E243" s="44" t="inlineStr">
        <is>
          <t>Communication Services</t>
        </is>
      </c>
      <c r="F243" s="45" t="n">
        <v>12049696768</v>
      </c>
      <c r="G243" s="44" t="inlineStr">
        <is>
          <t>nightly refresh</t>
        </is>
      </c>
      <c r="H243" s="43" t="n">
        <v>475</v>
      </c>
      <c r="I243" s="44" t="inlineStr">
        <is>
          <t>No</t>
        </is>
      </c>
      <c r="J243" s="44" t="inlineStr">
        <is>
          <t>2005-12-05</t>
        </is>
      </c>
      <c r="K243" s="43" t="n">
        <v>5212</v>
      </c>
      <c r="L243" s="44" t="inlineStr">
        <is>
          <t>2005-12-05</t>
        </is>
      </c>
      <c r="M243" s="44" t="inlineStr">
        <is>
          <t>2026-08-25</t>
        </is>
      </c>
      <c r="N243" s="43" t="n">
        <v>273</v>
      </c>
      <c r="O243" s="46" t="n">
        <v>-29.588</v>
      </c>
      <c r="P243" s="46" t="n">
        <v>-86.46169999999999</v>
      </c>
      <c r="Q243" s="46" t="n">
        <v>63.695</v>
      </c>
      <c r="R243" s="46" t="n">
        <v>-48.1403</v>
      </c>
      <c r="S243" s="47">
        <f>IF($I243="Yes",$O243,"")</f>
        <v/>
      </c>
    </row>
    <row r="244">
      <c r="A244" s="48" t="inlineStr">
        <is>
          <t>RDDT</t>
        </is>
      </c>
      <c r="B244" s="49" t="inlineStr">
        <is>
          <t>Reddit, Inc.</t>
        </is>
      </c>
      <c r="C244" s="49" t="inlineStr">
        <is>
          <t>US</t>
        </is>
      </c>
      <c r="D244" s="49" t="inlineStr">
        <is>
          <t>S&amp;P 500</t>
        </is>
      </c>
      <c r="E244" s="49" t="inlineStr">
        <is>
          <t>Communication Services</t>
        </is>
      </c>
      <c r="F244" s="50" t="n">
        <v>29890721792</v>
      </c>
      <c r="G244" s="49" t="inlineStr">
        <is>
          <t>nightly refresh</t>
        </is>
      </c>
      <c r="H244" s="48" t="n">
        <v>317</v>
      </c>
      <c r="I244" s="49" t="inlineStr">
        <is>
          <t>No</t>
        </is>
      </c>
      <c r="J244" s="49" t="inlineStr">
        <is>
          <t>2024-03-21</t>
        </is>
      </c>
      <c r="K244" s="48" t="n">
        <v>609</v>
      </c>
      <c r="L244" s="49" t="inlineStr">
        <is>
          <t>2024-03-21</t>
        </is>
      </c>
      <c r="M244" s="49" t="inlineStr">
        <is>
          <t>2026-08-25</t>
        </is>
      </c>
      <c r="N244" s="48" t="n">
        <v>38</v>
      </c>
      <c r="O244" s="51" t="n">
        <v>-35.0097</v>
      </c>
      <c r="P244" s="51" t="n">
        <v>-62.2803</v>
      </c>
      <c r="Q244" s="51" t="n">
        <v>187.6782</v>
      </c>
      <c r="R244" s="51" t="n">
        <v>-42.587</v>
      </c>
      <c r="S244" s="52">
        <f>IF($I244="Yes",$O244,"")</f>
        <v/>
      </c>
    </row>
    <row r="245">
      <c r="A245" s="43" t="inlineStr">
        <is>
          <t>T</t>
        </is>
      </c>
      <c r="B245" s="44" t="inlineStr">
        <is>
          <t>AT&amp;T Inc.</t>
        </is>
      </c>
      <c r="C245" s="44" t="inlineStr">
        <is>
          <t>US</t>
        </is>
      </c>
      <c r="D245" s="44" t="inlineStr">
        <is>
          <t>S&amp;P 500</t>
        </is>
      </c>
      <c r="E245" s="44" t="inlineStr">
        <is>
          <t>Communication Services</t>
        </is>
      </c>
      <c r="F245" s="45" t="n">
        <v>177271226368</v>
      </c>
      <c r="G245" s="44" t="inlineStr">
        <is>
          <t>nightly refresh</t>
        </is>
      </c>
      <c r="H245" s="43" t="n">
        <v>72</v>
      </c>
      <c r="I245" s="44" t="inlineStr">
        <is>
          <t>No</t>
        </is>
      </c>
      <c r="J245" s="44" t="inlineStr">
        <is>
          <t>1983-11-21</t>
        </is>
      </c>
      <c r="K245" s="43" t="n">
        <v>6701</v>
      </c>
      <c r="L245" s="44" t="inlineStr">
        <is>
          <t>2000-01-03</t>
        </is>
      </c>
      <c r="M245" s="44" t="inlineStr">
        <is>
          <t>2026-08-25</t>
        </is>
      </c>
      <c r="N245" s="43" t="n">
        <v>332</v>
      </c>
      <c r="O245" s="46" t="n">
        <v>-16.7888</v>
      </c>
      <c r="P245" s="46" t="n">
        <v>-56.1872</v>
      </c>
      <c r="Q245" s="46" t="n">
        <v>28.6956</v>
      </c>
      <c r="R245" s="46" t="n">
        <v>-11.5499</v>
      </c>
      <c r="S245" s="47">
        <f>IF($I245="Yes",$O245,"")</f>
        <v/>
      </c>
    </row>
    <row r="246">
      <c r="A246" s="48" t="inlineStr">
        <is>
          <t>TKO</t>
        </is>
      </c>
      <c r="B246" s="49" t="inlineStr">
        <is>
          <t>TKO Group Holdings, Inc.</t>
        </is>
      </c>
      <c r="C246" s="49" t="inlineStr">
        <is>
          <t>US</t>
        </is>
      </c>
      <c r="D246" s="49" t="inlineStr">
        <is>
          <t>S&amp;P 500</t>
        </is>
      </c>
      <c r="E246" s="49" t="inlineStr">
        <is>
          <t>Communication Services</t>
        </is>
      </c>
      <c r="F246" s="50" t="n">
        <v>35563778048</v>
      </c>
      <c r="G246" s="49" t="inlineStr">
        <is>
          <t>nightly refresh</t>
        </is>
      </c>
      <c r="H246" s="48" t="n">
        <v>290</v>
      </c>
      <c r="I246" s="49" t="inlineStr">
        <is>
          <t>No</t>
        </is>
      </c>
      <c r="J246" s="49" t="inlineStr">
        <is>
          <t>1999-10-19</t>
        </is>
      </c>
      <c r="K246" s="48" t="n">
        <v>6701</v>
      </c>
      <c r="L246" s="49" t="inlineStr">
        <is>
          <t>2000-01-03</t>
        </is>
      </c>
      <c r="M246" s="49" t="inlineStr">
        <is>
          <t>2026-08-25</t>
        </is>
      </c>
      <c r="N246" s="48" t="n">
        <v>382</v>
      </c>
      <c r="O246" s="51" t="n">
        <v>-24.9295</v>
      </c>
      <c r="P246" s="51" t="n">
        <v>-69.44289999999999</v>
      </c>
      <c r="Q246" s="51" t="n">
        <v>56.9008</v>
      </c>
      <c r="R246" s="51" t="n">
        <v>-14.0981</v>
      </c>
      <c r="S246" s="52">
        <f>IF($I246="Yes",$O246,"")</f>
        <v/>
      </c>
    </row>
    <row r="247">
      <c r="A247" s="43" t="inlineStr">
        <is>
          <t>TMUS</t>
        </is>
      </c>
      <c r="B247" s="44" t="inlineStr">
        <is>
          <t>T-Mobile US, Inc.</t>
        </is>
      </c>
      <c r="C247" s="44" t="inlineStr">
        <is>
          <t>US</t>
        </is>
      </c>
      <c r="D247" s="44" t="inlineStr">
        <is>
          <t>S&amp;P 500</t>
        </is>
      </c>
      <c r="E247" s="44" t="inlineStr">
        <is>
          <t>Communication Services</t>
        </is>
      </c>
      <c r="F247" s="45" t="n">
        <v>192662552576</v>
      </c>
      <c r="G247" s="44" t="inlineStr">
        <is>
          <t>nightly refresh</t>
        </is>
      </c>
      <c r="H247" s="43" t="n">
        <v>62</v>
      </c>
      <c r="I247" s="44" t="inlineStr">
        <is>
          <t>No</t>
        </is>
      </c>
      <c r="J247" s="44" t="inlineStr">
        <is>
          <t>2007-04-19</t>
        </is>
      </c>
      <c r="K247" s="43" t="n">
        <v>4869</v>
      </c>
      <c r="L247" s="44" t="inlineStr">
        <is>
          <t>2007-04-19</t>
        </is>
      </c>
      <c r="M247" s="44" t="inlineStr">
        <is>
          <t>2026-08-25</t>
        </is>
      </c>
      <c r="N247" s="43" t="n">
        <v>261</v>
      </c>
      <c r="O247" s="46" t="n">
        <v>-23.0886</v>
      </c>
      <c r="P247" s="46" t="n">
        <v>-70.86409999999999</v>
      </c>
      <c r="Q247" s="46" t="n">
        <v>50.5914</v>
      </c>
      <c r="R247" s="46" t="n">
        <v>-28.7163</v>
      </c>
      <c r="S247" s="47">
        <f>IF($I247="Yes",$O247,"")</f>
        <v/>
      </c>
    </row>
    <row r="248">
      <c r="A248" s="48" t="inlineStr">
        <is>
          <t>TTD</t>
        </is>
      </c>
      <c r="B248" s="49" t="inlineStr">
        <is>
          <t>The Trade Desk, Inc.</t>
        </is>
      </c>
      <c r="C248" s="49" t="inlineStr">
        <is>
          <t>US</t>
        </is>
      </c>
      <c r="D248" s="49" t="inlineStr">
        <is>
          <t>S&amp;P 500</t>
        </is>
      </c>
      <c r="E248" s="49" t="inlineStr">
        <is>
          <t>Communication Services</t>
        </is>
      </c>
      <c r="F248" s="50" t="n">
        <v>6122539008</v>
      </c>
      <c r="G248" s="49" t="inlineStr">
        <is>
          <t>nightly refresh</t>
        </is>
      </c>
      <c r="H248" s="48" t="n">
        <v>500</v>
      </c>
      <c r="I248" s="49" t="inlineStr">
        <is>
          <t>No</t>
        </is>
      </c>
      <c r="J248" s="49" t="inlineStr">
        <is>
          <t>2016-09-21</t>
        </is>
      </c>
      <c r="K248" s="48" t="n">
        <v>2495</v>
      </c>
      <c r="L248" s="49" t="inlineStr">
        <is>
          <t>2016-09-21</t>
        </is>
      </c>
      <c r="M248" s="49" t="inlineStr">
        <is>
          <t>2026-08-25</t>
        </is>
      </c>
      <c r="N248" s="48" t="n">
        <v>154</v>
      </c>
      <c r="O248" s="51" t="n">
        <v>-31.791</v>
      </c>
      <c r="P248" s="51" t="n">
        <v>-84.9098</v>
      </c>
      <c r="Q248" s="51" t="n">
        <v>122.9628</v>
      </c>
      <c r="R248" s="51" t="n">
        <v>-76.5029</v>
      </c>
      <c r="S248" s="52">
        <f>IF($I248="Yes",$O248,"")</f>
        <v/>
      </c>
    </row>
    <row r="249">
      <c r="A249" s="43" t="inlineStr">
        <is>
          <t>TTWO</t>
        </is>
      </c>
      <c r="B249" s="44" t="inlineStr">
        <is>
          <t>Take-Two Interactive Software, Inc.</t>
        </is>
      </c>
      <c r="C249" s="44" t="inlineStr">
        <is>
          <t>US</t>
        </is>
      </c>
      <c r="D249" s="44" t="inlineStr">
        <is>
          <t>S&amp;P 500</t>
        </is>
      </c>
      <c r="E249" s="44" t="inlineStr">
        <is>
          <t>Communication Services</t>
        </is>
      </c>
      <c r="F249" s="45" t="n">
        <v>43650584576</v>
      </c>
      <c r="G249" s="44" t="inlineStr">
        <is>
          <t>nightly refresh</t>
        </is>
      </c>
      <c r="H249" s="43" t="n">
        <v>259</v>
      </c>
      <c r="I249" s="44" t="inlineStr">
        <is>
          <t>No</t>
        </is>
      </c>
      <c r="J249" s="44" t="inlineStr">
        <is>
          <t>1997-04-15</t>
        </is>
      </c>
      <c r="K249" s="43" t="n">
        <v>6701</v>
      </c>
      <c r="L249" s="44" t="inlineStr">
        <is>
          <t>2000-01-03</t>
        </is>
      </c>
      <c r="M249" s="44" t="inlineStr">
        <is>
          <t>2026-08-25</t>
        </is>
      </c>
      <c r="N249" s="43" t="n">
        <v>371</v>
      </c>
      <c r="O249" s="46" t="n">
        <v>-24.8681</v>
      </c>
      <c r="P249" s="46" t="n">
        <v>-79.8914</v>
      </c>
      <c r="Q249" s="46" t="n">
        <v>69.1118</v>
      </c>
      <c r="R249" s="46" t="n">
        <v>-12.4126</v>
      </c>
      <c r="S249" s="47">
        <f>IF($I249="Yes",$O249,"")</f>
        <v/>
      </c>
    </row>
    <row r="250">
      <c r="A250" s="48" t="inlineStr">
        <is>
          <t>VZ</t>
        </is>
      </c>
      <c r="B250" s="49" t="inlineStr">
        <is>
          <t>Verizon Communications Inc.</t>
        </is>
      </c>
      <c r="C250" s="49" t="inlineStr">
        <is>
          <t>US</t>
        </is>
      </c>
      <c r="D250" s="49" t="inlineStr">
        <is>
          <t>S&amp;P 500</t>
        </is>
      </c>
      <c r="E250" s="49" t="inlineStr">
        <is>
          <t>Communication Services</t>
        </is>
      </c>
      <c r="F250" s="50" t="n">
        <v>208528162816</v>
      </c>
      <c r="G250" s="49" t="inlineStr">
        <is>
          <t>nightly refresh</t>
        </is>
      </c>
      <c r="H250" s="48" t="n">
        <v>57</v>
      </c>
      <c r="I250" s="49" t="inlineStr">
        <is>
          <t>Yes</t>
        </is>
      </c>
      <c r="J250" s="49" t="inlineStr">
        <is>
          <t>1983-11-21</t>
        </is>
      </c>
      <c r="K250" s="48" t="n">
        <v>6701</v>
      </c>
      <c r="L250" s="49" t="inlineStr">
        <is>
          <t>2000-01-03</t>
        </is>
      </c>
      <c r="M250" s="49" t="inlineStr">
        <is>
          <t>2026-08-25</t>
        </is>
      </c>
      <c r="N250" s="48" t="n">
        <v>327</v>
      </c>
      <c r="O250" s="51" t="n">
        <v>-14.8863</v>
      </c>
      <c r="P250" s="51" t="n">
        <v>-50.5985</v>
      </c>
      <c r="Q250" s="51" t="n">
        <v>26.131</v>
      </c>
      <c r="R250" s="51" t="n">
        <v>-1.3046</v>
      </c>
      <c r="S250" s="52">
        <f>IF($I250="Yes",$O250,"")</f>
        <v/>
      </c>
    </row>
    <row r="251">
      <c r="A251" s="43" t="inlineStr">
        <is>
          <t>WBD</t>
        </is>
      </c>
      <c r="B251" s="44" t="inlineStr">
        <is>
          <t>Warner Bros. Discovery, Inc.</t>
        </is>
      </c>
      <c r="C251" s="44" t="inlineStr">
        <is>
          <t>US</t>
        </is>
      </c>
      <c r="D251" s="44" t="inlineStr">
        <is>
          <t>S&amp;P 500</t>
        </is>
      </c>
      <c r="E251" s="44" t="inlineStr">
        <is>
          <t>Communication Services</t>
        </is>
      </c>
      <c r="F251" s="45" t="n">
        <v>72080179200</v>
      </c>
      <c r="G251" s="44" t="inlineStr">
        <is>
          <t>nightly refresh</t>
        </is>
      </c>
      <c r="H251" s="43" t="n">
        <v>183</v>
      </c>
      <c r="I251" s="44" t="inlineStr">
        <is>
          <t>No</t>
        </is>
      </c>
      <c r="J251" s="44" t="inlineStr">
        <is>
          <t>2005-07-08</t>
        </is>
      </c>
      <c r="K251" s="43" t="n">
        <v>5316</v>
      </c>
      <c r="L251" s="44" t="inlineStr">
        <is>
          <t>2005-07-08</t>
        </is>
      </c>
      <c r="M251" s="44" t="inlineStr">
        <is>
          <t>2026-08-25</t>
        </is>
      </c>
      <c r="N251" s="43" t="n">
        <v>309</v>
      </c>
      <c r="O251" s="46" t="n">
        <v>-27.1698</v>
      </c>
      <c r="P251" s="46" t="n">
        <v>-71.88590000000001</v>
      </c>
      <c r="Q251" s="46" t="n">
        <v>52.9653</v>
      </c>
      <c r="R251" s="46" t="n">
        <v>-3.6667</v>
      </c>
      <c r="S251" s="47">
        <f>IF($I251="Yes",$O251,"")</f>
        <v/>
      </c>
    </row>
    <row r="252">
      <c r="A252" s="48" t="inlineStr">
        <is>
          <t>ABNB</t>
        </is>
      </c>
      <c r="B252" s="49" t="inlineStr">
        <is>
          <t>Airbnb, Inc.</t>
        </is>
      </c>
      <c r="C252" s="49" t="inlineStr">
        <is>
          <t>US</t>
        </is>
      </c>
      <c r="D252" s="49" t="inlineStr">
        <is>
          <t>S&amp;P 500</t>
        </is>
      </c>
      <c r="E252" s="49" t="inlineStr">
        <is>
          <t>Consumer Cyclical</t>
        </is>
      </c>
      <c r="F252" s="50" t="n">
        <v>112613621760</v>
      </c>
      <c r="G252" s="49" t="inlineStr">
        <is>
          <t>nightly refresh</t>
        </is>
      </c>
      <c r="H252" s="48" t="n">
        <v>109</v>
      </c>
      <c r="I252" s="49" t="inlineStr">
        <is>
          <t>No</t>
        </is>
      </c>
      <c r="J252" s="49" t="inlineStr">
        <is>
          <t>2020-12-10</t>
        </is>
      </c>
      <c r="K252" s="48" t="n">
        <v>1432</v>
      </c>
      <c r="L252" s="49" t="inlineStr">
        <is>
          <t>2020-12-10</t>
        </is>
      </c>
      <c r="M252" s="49" t="inlineStr">
        <is>
          <t>2026-08-25</t>
        </is>
      </c>
      <c r="N252" s="48" t="n">
        <v>83</v>
      </c>
      <c r="O252" s="51" t="n">
        <v>-28.009</v>
      </c>
      <c r="P252" s="51" t="n">
        <v>-58.0966</v>
      </c>
      <c r="Q252" s="51" t="n">
        <v>40.6512</v>
      </c>
      <c r="R252" s="51" t="n">
        <v>-1.5265</v>
      </c>
      <c r="S252" s="52">
        <f>IF($I252="Yes",$O252,"")</f>
        <v/>
      </c>
    </row>
    <row r="253">
      <c r="A253" s="43" t="inlineStr">
        <is>
          <t>AMCR</t>
        </is>
      </c>
      <c r="B253" s="44" t="inlineStr">
        <is>
          <t>Amcor plc</t>
        </is>
      </c>
      <c r="C253" s="44" t="inlineStr">
        <is>
          <t>US</t>
        </is>
      </c>
      <c r="D253" s="44" t="inlineStr">
        <is>
          <t>S&amp;P 500</t>
        </is>
      </c>
      <c r="E253" s="44" t="inlineStr">
        <is>
          <t>Consumer Cyclical</t>
        </is>
      </c>
      <c r="F253" s="45" t="n">
        <v>21799600128</v>
      </c>
      <c r="G253" s="44" t="inlineStr">
        <is>
          <t>nightly refresh</t>
        </is>
      </c>
      <c r="H253" s="43" t="n">
        <v>391</v>
      </c>
      <c r="I253" s="44" t="inlineStr">
        <is>
          <t>No</t>
        </is>
      </c>
      <c r="J253" s="44" t="inlineStr">
        <is>
          <t>2012-05-15</t>
        </is>
      </c>
      <c r="K253" s="43" t="n">
        <v>3590</v>
      </c>
      <c r="L253" s="44" t="inlineStr">
        <is>
          <t>2012-05-15</t>
        </is>
      </c>
      <c r="M253" s="44" t="inlineStr">
        <is>
          <t>2026-08-25</t>
        </is>
      </c>
      <c r="N253" s="43" t="n">
        <v>116</v>
      </c>
      <c r="O253" s="46" t="n">
        <v>-15.4707</v>
      </c>
      <c r="P253" s="46" t="n">
        <v>-47.6175</v>
      </c>
      <c r="Q253" s="46" t="n">
        <v>32.2729</v>
      </c>
      <c r="R253" s="46" t="n">
        <v>-4.4207</v>
      </c>
      <c r="S253" s="47">
        <f>IF($I253="Yes",$O253,"")</f>
        <v/>
      </c>
    </row>
    <row r="254">
      <c r="A254" s="48" t="inlineStr">
        <is>
          <t>AMZN</t>
        </is>
      </c>
      <c r="B254" s="49" t="inlineStr">
        <is>
          <t>Amazon.com, Inc.</t>
        </is>
      </c>
      <c r="C254" s="49" t="inlineStr">
        <is>
          <t>US</t>
        </is>
      </c>
      <c r="D254" s="49" t="inlineStr">
        <is>
          <t>S&amp;P 500</t>
        </is>
      </c>
      <c r="E254" s="49" t="inlineStr">
        <is>
          <t>Consumer Cyclical</t>
        </is>
      </c>
      <c r="F254" s="50" t="n">
        <v>2807461576704</v>
      </c>
      <c r="G254" s="49" t="inlineStr">
        <is>
          <t>nightly refresh</t>
        </is>
      </c>
      <c r="H254" s="48" t="n">
        <v>6</v>
      </c>
      <c r="I254" s="49" t="inlineStr">
        <is>
          <t>Yes</t>
        </is>
      </c>
      <c r="J254" s="49" t="inlineStr">
        <is>
          <t>1997-05-15</t>
        </is>
      </c>
      <c r="K254" s="48" t="n">
        <v>6701</v>
      </c>
      <c r="L254" s="49" t="inlineStr">
        <is>
          <t>2000-01-03</t>
        </is>
      </c>
      <c r="M254" s="49" t="inlineStr">
        <is>
          <t>2026-08-25</t>
        </is>
      </c>
      <c r="N254" s="48" t="n">
        <v>361</v>
      </c>
      <c r="O254" s="51" t="n">
        <v>-23.9089</v>
      </c>
      <c r="P254" s="51" t="n">
        <v>-87.80329999999999</v>
      </c>
      <c r="Q254" s="51" t="n">
        <v>71.7748</v>
      </c>
      <c r="R254" s="51" t="n">
        <v>-9.101699999999999</v>
      </c>
      <c r="S254" s="52">
        <f>IF($I254="Yes",$O254,"")</f>
        <v/>
      </c>
    </row>
    <row r="255">
      <c r="A255" s="43" t="inlineStr">
        <is>
          <t>APTV</t>
        </is>
      </c>
      <c r="B255" s="44" t="inlineStr">
        <is>
          <t>Aptiv PLC</t>
        </is>
      </c>
      <c r="C255" s="44" t="inlineStr">
        <is>
          <t>US</t>
        </is>
      </c>
      <c r="D255" s="44" t="inlineStr">
        <is>
          <t>S&amp;P 500</t>
        </is>
      </c>
      <c r="E255" s="44" t="inlineStr">
        <is>
          <t>Consumer Cyclical</t>
        </is>
      </c>
      <c r="F255" s="45" t="n">
        <v>9607194624</v>
      </c>
      <c r="G255" s="44" t="inlineStr">
        <is>
          <t>nightly refresh</t>
        </is>
      </c>
      <c r="H255" s="43" t="n">
        <v>493</v>
      </c>
      <c r="I255" s="44" t="inlineStr">
        <is>
          <t>No</t>
        </is>
      </c>
      <c r="J255" s="44" t="inlineStr">
        <is>
          <t>2011-11-17</t>
        </is>
      </c>
      <c r="K255" s="43" t="n">
        <v>3712</v>
      </c>
      <c r="L255" s="44" t="inlineStr">
        <is>
          <t>2011-11-17</t>
        </is>
      </c>
      <c r="M255" s="44" t="inlineStr">
        <is>
          <t>2026-08-25</t>
        </is>
      </c>
      <c r="N255" s="43" t="n">
        <v>198</v>
      </c>
      <c r="O255" s="46" t="n">
        <v>-22.1001</v>
      </c>
      <c r="P255" s="46" t="n">
        <v>-66.0386</v>
      </c>
      <c r="Q255" s="46" t="n">
        <v>61.4259</v>
      </c>
      <c r="R255" s="46" t="n">
        <v>-47.5655</v>
      </c>
      <c r="S255" s="47">
        <f>IF($I255="Yes",$O255,"")</f>
        <v/>
      </c>
    </row>
    <row r="256">
      <c r="A256" s="48" t="inlineStr">
        <is>
          <t>AVY</t>
        </is>
      </c>
      <c r="B256" s="49" t="inlineStr">
        <is>
          <t>Avery Dennison Corporation</t>
        </is>
      </c>
      <c r="C256" s="49" t="inlineStr">
        <is>
          <t>US</t>
        </is>
      </c>
      <c r="D256" s="49" t="inlineStr">
        <is>
          <t>S&amp;P 500</t>
        </is>
      </c>
      <c r="E256" s="49" t="inlineStr">
        <is>
          <t>Consumer Cyclical</t>
        </is>
      </c>
      <c r="F256" s="50" t="n">
        <v>13818451968</v>
      </c>
      <c r="G256" s="49" t="inlineStr">
        <is>
          <t>nightly refresh</t>
        </is>
      </c>
      <c r="H256" s="48" t="n">
        <v>457</v>
      </c>
      <c r="I256" s="49" t="inlineStr">
        <is>
          <t>No</t>
        </is>
      </c>
      <c r="J256" s="49" t="inlineStr">
        <is>
          <t>1973-02-21</t>
        </is>
      </c>
      <c r="K256" s="48" t="n">
        <v>6701</v>
      </c>
      <c r="L256" s="49" t="inlineStr">
        <is>
          <t>2000-01-03</t>
        </is>
      </c>
      <c r="M256" s="49" t="inlineStr">
        <is>
          <t>2026-08-25</t>
        </is>
      </c>
      <c r="N256" s="48" t="n">
        <v>342</v>
      </c>
      <c r="O256" s="51" t="n">
        <v>-18.5332</v>
      </c>
      <c r="P256" s="51" t="n">
        <v>-66.23099999999999</v>
      </c>
      <c r="Q256" s="51" t="n">
        <v>37.1484</v>
      </c>
      <c r="R256" s="51" t="n">
        <v>-8.789899999999999</v>
      </c>
      <c r="S256" s="52">
        <f>IF($I256="Yes",$O256,"")</f>
        <v/>
      </c>
    </row>
    <row r="257">
      <c r="A257" s="43" t="inlineStr">
        <is>
          <t>AZO</t>
        </is>
      </c>
      <c r="B257" s="44" t="inlineStr">
        <is>
          <t>AutoZone, Inc.</t>
        </is>
      </c>
      <c r="C257" s="44" t="inlineStr">
        <is>
          <t>US</t>
        </is>
      </c>
      <c r="D257" s="44" t="inlineStr">
        <is>
          <t>S&amp;P 500</t>
        </is>
      </c>
      <c r="E257" s="44" t="inlineStr">
        <is>
          <t>Consumer Cyclical</t>
        </is>
      </c>
      <c r="F257" s="45" t="n">
        <v>47871329502.56836</v>
      </c>
      <c r="G257" s="44" t="inlineStr">
        <is>
          <t>re-fetched 28 Aug 2026</t>
        </is>
      </c>
      <c r="H257" s="43" t="n">
        <v>247</v>
      </c>
      <c r="I257" s="44" t="inlineStr">
        <is>
          <t>No</t>
        </is>
      </c>
      <c r="J257" s="44" t="inlineStr">
        <is>
          <t>1991-04-02</t>
        </is>
      </c>
      <c r="K257" s="43" t="n">
        <v>6701</v>
      </c>
      <c r="L257" s="44" t="inlineStr">
        <is>
          <t>2000-01-03</t>
        </is>
      </c>
      <c r="M257" s="44" t="inlineStr">
        <is>
          <t>2026-08-25</t>
        </is>
      </c>
      <c r="N257" s="43" t="n">
        <v>318</v>
      </c>
      <c r="O257" s="46" t="n">
        <v>-14.3017</v>
      </c>
      <c r="P257" s="46" t="n">
        <v>-43.2506</v>
      </c>
      <c r="Q257" s="46" t="n">
        <v>45.9477</v>
      </c>
      <c r="R257" s="46" t="n">
        <v>-31.0104</v>
      </c>
      <c r="S257" s="47">
        <f>IF($I257="Yes",$O257,"")</f>
        <v/>
      </c>
    </row>
    <row r="258">
      <c r="A258" s="48" t="inlineStr">
        <is>
          <t>BALL</t>
        </is>
      </c>
      <c r="B258" s="49" t="inlineStr">
        <is>
          <t>Ball Corporation</t>
        </is>
      </c>
      <c r="C258" s="49" t="inlineStr">
        <is>
          <t>US</t>
        </is>
      </c>
      <c r="D258" s="49" t="inlineStr">
        <is>
          <t>S&amp;P 500</t>
        </is>
      </c>
      <c r="E258" s="49" t="inlineStr">
        <is>
          <t>Consumer Cyclical</t>
        </is>
      </c>
      <c r="F258" s="50" t="n">
        <v>16954251264</v>
      </c>
      <c r="G258" s="49" t="inlineStr">
        <is>
          <t>nightly refresh</t>
        </is>
      </c>
      <c r="H258" s="48" t="n">
        <v>431</v>
      </c>
      <c r="I258" s="49" t="inlineStr">
        <is>
          <t>No</t>
        </is>
      </c>
      <c r="J258" s="49" t="inlineStr">
        <is>
          <t>1973-02-21</t>
        </is>
      </c>
      <c r="K258" s="48" t="n">
        <v>6701</v>
      </c>
      <c r="L258" s="49" t="inlineStr">
        <is>
          <t>2000-01-03</t>
        </is>
      </c>
      <c r="M258" s="49" t="inlineStr">
        <is>
          <t>2026-08-25</t>
        </is>
      </c>
      <c r="N258" s="48" t="n">
        <v>329</v>
      </c>
      <c r="O258" s="51" t="n">
        <v>-16.0823</v>
      </c>
      <c r="P258" s="51" t="n">
        <v>-51.1557</v>
      </c>
      <c r="Q258" s="51" t="n">
        <v>40.4333</v>
      </c>
      <c r="R258" s="51" t="n">
        <v>-5.5389</v>
      </c>
      <c r="S258" s="52">
        <f>IF($I258="Yes",$O258,"")</f>
        <v/>
      </c>
    </row>
    <row r="259">
      <c r="A259" s="43" t="inlineStr">
        <is>
          <t>BBY</t>
        </is>
      </c>
      <c r="B259" s="44" t="inlineStr">
        <is>
          <t>Best Buy Co., Inc.</t>
        </is>
      </c>
      <c r="C259" s="44" t="inlineStr">
        <is>
          <t>US</t>
        </is>
      </c>
      <c r="D259" s="44" t="inlineStr">
        <is>
          <t>S&amp;P 500</t>
        </is>
      </c>
      <c r="E259" s="44" t="inlineStr">
        <is>
          <t>Consumer Cyclical</t>
        </is>
      </c>
      <c r="F259" s="45" t="n">
        <v>17611700533.99182</v>
      </c>
      <c r="G259" s="44" t="inlineStr">
        <is>
          <t>re-fetched 28 Aug 2026</t>
        </is>
      </c>
      <c r="H259" s="43" t="n">
        <v>425</v>
      </c>
      <c r="I259" s="44" t="inlineStr">
        <is>
          <t>No</t>
        </is>
      </c>
      <c r="J259" s="44" t="inlineStr">
        <is>
          <t>1985-04-18</t>
        </is>
      </c>
      <c r="K259" s="43" t="n">
        <v>6701</v>
      </c>
      <c r="L259" s="44" t="inlineStr">
        <is>
          <t>2000-01-03</t>
        </is>
      </c>
      <c r="M259" s="44" t="inlineStr">
        <is>
          <t>2026-08-25</t>
        </is>
      </c>
      <c r="N259" s="43" t="n">
        <v>391</v>
      </c>
      <c r="O259" s="46" t="n">
        <v>-25.1545</v>
      </c>
      <c r="P259" s="46" t="n">
        <v>-74.89449999999999</v>
      </c>
      <c r="Q259" s="46" t="n">
        <v>61.6209</v>
      </c>
      <c r="R259" s="46" t="n">
        <v>-6.552</v>
      </c>
      <c r="S259" s="47">
        <f>IF($I259="Yes",$O259,"")</f>
        <v/>
      </c>
    </row>
    <row r="260">
      <c r="A260" s="48" t="inlineStr">
        <is>
          <t>BKNG</t>
        </is>
      </c>
      <c r="B260" s="49" t="inlineStr">
        <is>
          <t>Booking Holdings Inc.</t>
        </is>
      </c>
      <c r="C260" s="49" t="inlineStr">
        <is>
          <t>US</t>
        </is>
      </c>
      <c r="D260" s="49" t="inlineStr">
        <is>
          <t>S&amp;P 500</t>
        </is>
      </c>
      <c r="E260" s="49" t="inlineStr">
        <is>
          <t>Consumer Cyclical</t>
        </is>
      </c>
      <c r="F260" s="50" t="n">
        <v>156955869184</v>
      </c>
      <c r="G260" s="49" t="inlineStr">
        <is>
          <t>nightly refresh</t>
        </is>
      </c>
      <c r="H260" s="48" t="n">
        <v>84</v>
      </c>
      <c r="I260" s="49" t="inlineStr">
        <is>
          <t>No</t>
        </is>
      </c>
      <c r="J260" s="49" t="inlineStr">
        <is>
          <t>1999-03-31</t>
        </is>
      </c>
      <c r="K260" s="48" t="n">
        <v>6701</v>
      </c>
      <c r="L260" s="49" t="inlineStr">
        <is>
          <t>2000-01-03</t>
        </is>
      </c>
      <c r="M260" s="49" t="inlineStr">
        <is>
          <t>2026-08-25</t>
        </is>
      </c>
      <c r="N260" s="48" t="n">
        <v>373</v>
      </c>
      <c r="O260" s="51" t="n">
        <v>-25.8633</v>
      </c>
      <c r="P260" s="51" t="n">
        <v>-98.9209</v>
      </c>
      <c r="Q260" s="51" t="n">
        <v>95.5458</v>
      </c>
      <c r="R260" s="51" t="n">
        <v>-6.6635</v>
      </c>
      <c r="S260" s="52">
        <f>IF($I260="Yes",$O260,"")</f>
        <v/>
      </c>
    </row>
    <row r="261">
      <c r="A261" s="43" t="inlineStr">
        <is>
          <t>CASY</t>
        </is>
      </c>
      <c r="B261" s="44" t="inlineStr">
        <is>
          <t>Casey's General Stores, Inc.</t>
        </is>
      </c>
      <c r="C261" s="44" t="inlineStr">
        <is>
          <t>US</t>
        </is>
      </c>
      <c r="D261" s="44" t="inlineStr">
        <is>
          <t>S&amp;P 500</t>
        </is>
      </c>
      <c r="E261" s="44" t="inlineStr">
        <is>
          <t>Consumer Cyclical</t>
        </is>
      </c>
      <c r="F261" s="45" t="n">
        <v>29867405312</v>
      </c>
      <c r="G261" s="44" t="inlineStr">
        <is>
          <t>nightly refresh</t>
        </is>
      </c>
      <c r="H261" s="43" t="n">
        <v>318</v>
      </c>
      <c r="I261" s="44" t="inlineStr">
        <is>
          <t>No</t>
        </is>
      </c>
      <c r="J261" s="44" t="inlineStr">
        <is>
          <t>1983-10-20</t>
        </is>
      </c>
      <c r="K261" s="43" t="n">
        <v>6701</v>
      </c>
      <c r="L261" s="44" t="inlineStr">
        <is>
          <t>2000-01-03</t>
        </is>
      </c>
      <c r="M261" s="44" t="inlineStr">
        <is>
          <t>2026-08-25</t>
        </is>
      </c>
      <c r="N261" s="43" t="n">
        <v>367</v>
      </c>
      <c r="O261" s="46" t="n">
        <v>-13.8085</v>
      </c>
      <c r="P261" s="46" t="n">
        <v>-40.695</v>
      </c>
      <c r="Q261" s="46" t="n">
        <v>40.2831</v>
      </c>
      <c r="R261" s="46" t="n">
        <v>-11.0934</v>
      </c>
      <c r="S261" s="47">
        <f>IF($I261="Yes",$O261,"")</f>
        <v/>
      </c>
    </row>
    <row r="262">
      <c r="A262" s="48" t="inlineStr">
        <is>
          <t>CCL</t>
        </is>
      </c>
      <c r="B262" s="49" t="inlineStr">
        <is>
          <t>Carnival Corporation Ltd.</t>
        </is>
      </c>
      <c r="C262" s="49" t="inlineStr">
        <is>
          <t>US</t>
        </is>
      </c>
      <c r="D262" s="49" t="inlineStr">
        <is>
          <t>S&amp;P 500</t>
        </is>
      </c>
      <c r="E262" s="49" t="inlineStr">
        <is>
          <t>Consumer Cyclical</t>
        </is>
      </c>
      <c r="F262" s="50" t="n">
        <v>35049320448</v>
      </c>
      <c r="G262" s="49" t="inlineStr">
        <is>
          <t>nightly refresh</t>
        </is>
      </c>
      <c r="H262" s="48" t="n">
        <v>292</v>
      </c>
      <c r="I262" s="49" t="inlineStr">
        <is>
          <t>No</t>
        </is>
      </c>
      <c r="J262" s="49" t="inlineStr">
        <is>
          <t>1987-07-24</t>
        </is>
      </c>
      <c r="K262" s="48" t="n">
        <v>6701</v>
      </c>
      <c r="L262" s="49" t="inlineStr">
        <is>
          <t>2000-01-03</t>
        </is>
      </c>
      <c r="M262" s="49" t="inlineStr">
        <is>
          <t>2026-08-25</t>
        </is>
      </c>
      <c r="N262" s="48" t="n">
        <v>370</v>
      </c>
      <c r="O262" s="51" t="n">
        <v>-24.5255</v>
      </c>
      <c r="P262" s="51" t="n">
        <v>-85.14409999999999</v>
      </c>
      <c r="Q262" s="51" t="n">
        <v>54.7135</v>
      </c>
      <c r="R262" s="51" t="n">
        <v>-22.3577</v>
      </c>
      <c r="S262" s="52">
        <f>IF($I262="Yes",$O262,"")</f>
        <v/>
      </c>
    </row>
    <row r="263">
      <c r="A263" s="43" t="inlineStr">
        <is>
          <t>CMG</t>
        </is>
      </c>
      <c r="B263" s="44" t="inlineStr">
        <is>
          <t>Chipotle Mexican Grill, Inc.</t>
        </is>
      </c>
      <c r="C263" s="44" t="inlineStr">
        <is>
          <t>US</t>
        </is>
      </c>
      <c r="D263" s="44" t="inlineStr">
        <is>
          <t>S&amp;P 500</t>
        </is>
      </c>
      <c r="E263" s="44" t="inlineStr">
        <is>
          <t>Consumer Cyclical</t>
        </is>
      </c>
      <c r="F263" s="45" t="n">
        <v>47250706432</v>
      </c>
      <c r="G263" s="44" t="inlineStr">
        <is>
          <t>nightly refresh</t>
        </is>
      </c>
      <c r="H263" s="43" t="n">
        <v>248</v>
      </c>
      <c r="I263" s="44" t="inlineStr">
        <is>
          <t>No</t>
        </is>
      </c>
      <c r="J263" s="44" t="inlineStr">
        <is>
          <t>2006-01-26</t>
        </is>
      </c>
      <c r="K263" s="43" t="n">
        <v>5177</v>
      </c>
      <c r="L263" s="44" t="inlineStr">
        <is>
          <t>2006-01-26</t>
        </is>
      </c>
      <c r="M263" s="44" t="inlineStr">
        <is>
          <t>2026-08-25</t>
        </is>
      </c>
      <c r="N263" s="43" t="n">
        <v>261</v>
      </c>
      <c r="O263" s="46" t="n">
        <v>-23.8127</v>
      </c>
      <c r="P263" s="46" t="n">
        <v>-75.1174</v>
      </c>
      <c r="Q263" s="46" t="n">
        <v>71.5637</v>
      </c>
      <c r="R263" s="46" t="n">
        <v>-14.1317</v>
      </c>
      <c r="S263" s="47">
        <f>IF($I263="Yes",$O263,"")</f>
        <v/>
      </c>
    </row>
    <row r="264">
      <c r="A264" s="48" t="inlineStr">
        <is>
          <t>CVNA</t>
        </is>
      </c>
      <c r="B264" s="49" t="inlineStr">
        <is>
          <t>Carvana Co.</t>
        </is>
      </c>
      <c r="C264" s="49" t="inlineStr">
        <is>
          <t>US</t>
        </is>
      </c>
      <c r="D264" s="49" t="inlineStr">
        <is>
          <t>S&amp;P 500</t>
        </is>
      </c>
      <c r="E264" s="49" t="inlineStr">
        <is>
          <t>Consumer Cyclical</t>
        </is>
      </c>
      <c r="F264" s="50" t="n">
        <v>81970888704</v>
      </c>
      <c r="G264" s="49" t="inlineStr">
        <is>
          <t>nightly refresh</t>
        </is>
      </c>
      <c r="H264" s="48" t="n">
        <v>156</v>
      </c>
      <c r="I264" s="49" t="inlineStr">
        <is>
          <t>No</t>
        </is>
      </c>
      <c r="J264" s="49" t="inlineStr">
        <is>
          <t>2017-04-28</t>
        </is>
      </c>
      <c r="K264" s="48" t="n">
        <v>2344</v>
      </c>
      <c r="L264" s="49" t="inlineStr">
        <is>
          <t>2017-04-28</t>
        </is>
      </c>
      <c r="M264" s="49" t="inlineStr">
        <is>
          <t>2026-08-25</t>
        </is>
      </c>
      <c r="N264" s="48" t="n">
        <v>140</v>
      </c>
      <c r="O264" s="51" t="n">
        <v>-33.8952</v>
      </c>
      <c r="P264" s="51" t="n">
        <v>-98.604</v>
      </c>
      <c r="Q264" s="51" t="n">
        <v>387.0356</v>
      </c>
      <c r="R264" s="51" t="n">
        <v>-22.1898</v>
      </c>
      <c r="S264" s="52">
        <f>IF($I264="Yes",$O264,"")</f>
        <v/>
      </c>
    </row>
    <row r="265">
      <c r="A265" s="43" t="inlineStr">
        <is>
          <t>DASH</t>
        </is>
      </c>
      <c r="B265" s="44" t="inlineStr">
        <is>
          <t>DoorDash, Inc.</t>
        </is>
      </c>
      <c r="C265" s="44" t="inlineStr">
        <is>
          <t>US</t>
        </is>
      </c>
      <c r="D265" s="44" t="inlineStr">
        <is>
          <t>S&amp;P 500</t>
        </is>
      </c>
      <c r="E265" s="44" t="inlineStr">
        <is>
          <t>Consumer Cyclical</t>
        </is>
      </c>
      <c r="F265" s="45" t="n">
        <v>103234830336</v>
      </c>
      <c r="G265" s="44" t="inlineStr">
        <is>
          <t>nightly refresh</t>
        </is>
      </c>
      <c r="H265" s="43" t="n">
        <v>120</v>
      </c>
      <c r="I265" s="44" t="inlineStr">
        <is>
          <t>No</t>
        </is>
      </c>
      <c r="J265" s="44" t="inlineStr">
        <is>
          <t>2020-12-09</t>
        </is>
      </c>
      <c r="K265" s="43" t="n">
        <v>1433</v>
      </c>
      <c r="L265" s="44" t="inlineStr">
        <is>
          <t>2020-12-09</t>
        </is>
      </c>
      <c r="M265" s="44" t="inlineStr">
        <is>
          <t>2026-08-25</t>
        </is>
      </c>
      <c r="N265" s="43" t="n">
        <v>79</v>
      </c>
      <c r="O265" s="46" t="n">
        <v>-35.8176</v>
      </c>
      <c r="P265" s="46" t="n">
        <v>-83.26139999999999</v>
      </c>
      <c r="Q265" s="46" t="n">
        <v>70.5557</v>
      </c>
      <c r="R265" s="46" t="n">
        <v>-18.2137</v>
      </c>
      <c r="S265" s="47">
        <f>IF($I265="Yes",$O265,"")</f>
        <v/>
      </c>
    </row>
    <row r="266">
      <c r="A266" s="48" t="inlineStr">
        <is>
          <t>DECK</t>
        </is>
      </c>
      <c r="B266" s="49" t="inlineStr">
        <is>
          <t>Deckers Outdoor Corporation</t>
        </is>
      </c>
      <c r="C266" s="49" t="inlineStr">
        <is>
          <t>US</t>
        </is>
      </c>
      <c r="D266" s="49" t="inlineStr">
        <is>
          <t>S&amp;P 500</t>
        </is>
      </c>
      <c r="E266" s="49" t="inlineStr">
        <is>
          <t>Consumer Cyclical</t>
        </is>
      </c>
      <c r="F266" s="50" t="n">
        <v>12184190976</v>
      </c>
      <c r="G266" s="49" t="inlineStr">
        <is>
          <t>nightly refresh</t>
        </is>
      </c>
      <c r="H266" s="48" t="n">
        <v>473</v>
      </c>
      <c r="I266" s="49" t="inlineStr">
        <is>
          <t>No</t>
        </is>
      </c>
      <c r="J266" s="49" t="inlineStr">
        <is>
          <t>1993-10-15</t>
        </is>
      </c>
      <c r="K266" s="48" t="n">
        <v>6701</v>
      </c>
      <c r="L266" s="49" t="inlineStr">
        <is>
          <t>2000-01-03</t>
        </is>
      </c>
      <c r="M266" s="49" t="inlineStr">
        <is>
          <t>2026-08-25</t>
        </is>
      </c>
      <c r="N266" s="48" t="n">
        <v>365</v>
      </c>
      <c r="O266" s="51" t="n">
        <v>-26.1899</v>
      </c>
      <c r="P266" s="51" t="n">
        <v>-75.9209</v>
      </c>
      <c r="Q266" s="51" t="n">
        <v>104.1232</v>
      </c>
      <c r="R266" s="51" t="n">
        <v>-29.2627</v>
      </c>
      <c r="S266" s="52">
        <f>IF($I266="Yes",$O266,"")</f>
        <v/>
      </c>
    </row>
    <row r="267">
      <c r="A267" s="43" t="inlineStr">
        <is>
          <t>DHI</t>
        </is>
      </c>
      <c r="B267" s="44" t="inlineStr">
        <is>
          <t>D.R. Horton, Inc.</t>
        </is>
      </c>
      <c r="C267" s="44" t="inlineStr">
        <is>
          <t>US</t>
        </is>
      </c>
      <c r="D267" s="44" t="inlineStr">
        <is>
          <t>S&amp;P 500</t>
        </is>
      </c>
      <c r="E267" s="44" t="inlineStr">
        <is>
          <t>Consumer Cyclical</t>
        </is>
      </c>
      <c r="F267" s="45" t="n">
        <v>41745416192</v>
      </c>
      <c r="G267" s="44" t="inlineStr">
        <is>
          <t>nightly refresh</t>
        </is>
      </c>
      <c r="H267" s="43" t="n">
        <v>265</v>
      </c>
      <c r="I267" s="44" t="inlineStr">
        <is>
          <t>No</t>
        </is>
      </c>
      <c r="J267" s="44" t="inlineStr">
        <is>
          <t>1992-06-05</t>
        </is>
      </c>
      <c r="K267" s="43" t="n">
        <v>6701</v>
      </c>
      <c r="L267" s="44" t="inlineStr">
        <is>
          <t>2000-01-03</t>
        </is>
      </c>
      <c r="M267" s="44" t="inlineStr">
        <is>
          <t>2026-08-25</t>
        </is>
      </c>
      <c r="N267" s="43" t="n">
        <v>384</v>
      </c>
      <c r="O267" s="46" t="n">
        <v>-23.1052</v>
      </c>
      <c r="P267" s="46" t="n">
        <v>-75.5371</v>
      </c>
      <c r="Q267" s="46" t="n">
        <v>67.4663</v>
      </c>
      <c r="R267" s="46" t="n">
        <v>-17.5526</v>
      </c>
      <c r="S267" s="47">
        <f>IF($I267="Yes",$O267,"")</f>
        <v/>
      </c>
    </row>
    <row r="268">
      <c r="A268" s="48" t="inlineStr">
        <is>
          <t>DPZ</t>
        </is>
      </c>
      <c r="B268" s="49" t="inlineStr">
        <is>
          <t>Domino's Pizza, Inc.</t>
        </is>
      </c>
      <c r="C268" s="49" t="inlineStr">
        <is>
          <t>US</t>
        </is>
      </c>
      <c r="D268" s="49" t="inlineStr">
        <is>
          <t>S&amp;P 500</t>
        </is>
      </c>
      <c r="E268" s="49" t="inlineStr">
        <is>
          <t>Consumer Cyclical</t>
        </is>
      </c>
      <c r="F268" s="50" t="n">
        <v>11398642688</v>
      </c>
      <c r="G268" s="49" t="inlineStr">
        <is>
          <t>nightly refresh</t>
        </is>
      </c>
      <c r="H268" s="48" t="n">
        <v>480</v>
      </c>
      <c r="I268" s="49" t="inlineStr">
        <is>
          <t>No</t>
        </is>
      </c>
      <c r="J268" s="49" t="inlineStr">
        <is>
          <t>2004-07-13</t>
        </is>
      </c>
      <c r="K268" s="48" t="n">
        <v>5566</v>
      </c>
      <c r="L268" s="49" t="inlineStr">
        <is>
          <t>2004-07-13</t>
        </is>
      </c>
      <c r="M268" s="49" t="inlineStr">
        <is>
          <t>2026-08-25</t>
        </is>
      </c>
      <c r="N268" s="48" t="n">
        <v>279</v>
      </c>
      <c r="O268" s="51" t="n">
        <v>-18.5212</v>
      </c>
      <c r="P268" s="51" t="n">
        <v>-81.357</v>
      </c>
      <c r="Q268" s="51" t="n">
        <v>58.1856</v>
      </c>
      <c r="R268" s="51" t="n">
        <v>-24.4211</v>
      </c>
      <c r="S268" s="52">
        <f>IF($I268="Yes",$O268,"")</f>
        <v/>
      </c>
    </row>
    <row r="269">
      <c r="A269" s="43" t="inlineStr">
        <is>
          <t>DRI</t>
        </is>
      </c>
      <c r="B269" s="44" t="inlineStr">
        <is>
          <t>Darden Restaurants, Inc.</t>
        </is>
      </c>
      <c r="C269" s="44" t="inlineStr">
        <is>
          <t>US</t>
        </is>
      </c>
      <c r="D269" s="44" t="inlineStr">
        <is>
          <t>S&amp;P 500</t>
        </is>
      </c>
      <c r="E269" s="44" t="inlineStr">
        <is>
          <t>Consumer Cyclical</t>
        </is>
      </c>
      <c r="F269" s="45" t="n">
        <v>24844072960</v>
      </c>
      <c r="G269" s="44" t="inlineStr">
        <is>
          <t>nightly refresh</t>
        </is>
      </c>
      <c r="H269" s="43" t="n">
        <v>362</v>
      </c>
      <c r="I269" s="44" t="inlineStr">
        <is>
          <t>No</t>
        </is>
      </c>
      <c r="J269" s="44" t="inlineStr">
        <is>
          <t>1995-05-09</t>
        </is>
      </c>
      <c r="K269" s="43" t="n">
        <v>6701</v>
      </c>
      <c r="L269" s="44" t="inlineStr">
        <is>
          <t>2000-01-03</t>
        </is>
      </c>
      <c r="M269" s="44" t="inlineStr">
        <is>
          <t>2026-08-25</t>
        </is>
      </c>
      <c r="N269" s="43" t="n">
        <v>359</v>
      </c>
      <c r="O269" s="46" t="n">
        <v>-16.1887</v>
      </c>
      <c r="P269" s="46" t="n">
        <v>-72.98180000000001</v>
      </c>
      <c r="Q269" s="46" t="n">
        <v>57.4473</v>
      </c>
      <c r="R269" s="46" t="n">
        <v>-4.0695</v>
      </c>
      <c r="S269" s="47">
        <f>IF($I269="Yes",$O269,"")</f>
        <v/>
      </c>
    </row>
    <row r="270">
      <c r="A270" s="48" t="inlineStr">
        <is>
          <t>EBAY</t>
        </is>
      </c>
      <c r="B270" s="49" t="inlineStr">
        <is>
          <t>eBay Inc.</t>
        </is>
      </c>
      <c r="C270" s="49" t="inlineStr">
        <is>
          <t>US</t>
        </is>
      </c>
      <c r="D270" s="49" t="inlineStr">
        <is>
          <t>S&amp;P 500</t>
        </is>
      </c>
      <c r="E270" s="49" t="inlineStr">
        <is>
          <t>Consumer Cyclical</t>
        </is>
      </c>
      <c r="F270" s="50" t="n">
        <v>46368997376</v>
      </c>
      <c r="G270" s="49" t="inlineStr">
        <is>
          <t>nightly refresh</t>
        </is>
      </c>
      <c r="H270" s="48" t="n">
        <v>253</v>
      </c>
      <c r="I270" s="49" t="inlineStr">
        <is>
          <t>No</t>
        </is>
      </c>
      <c r="J270" s="49" t="inlineStr">
        <is>
          <t>1998-09-24</t>
        </is>
      </c>
      <c r="K270" s="48" t="n">
        <v>6701</v>
      </c>
      <c r="L270" s="49" t="inlineStr">
        <is>
          <t>2000-01-03</t>
        </is>
      </c>
      <c r="M270" s="49" t="inlineStr">
        <is>
          <t>2026-08-25</t>
        </is>
      </c>
      <c r="N270" s="48" t="n">
        <v>362</v>
      </c>
      <c r="O270" s="51" t="n">
        <v>-22.3371</v>
      </c>
      <c r="P270" s="51" t="n">
        <v>-78.0882</v>
      </c>
      <c r="Q270" s="51" t="n">
        <v>52.4263</v>
      </c>
      <c r="R270" s="51" t="n">
        <v>-10.9095</v>
      </c>
      <c r="S270" s="52">
        <f>IF($I270="Yes",$O270,"")</f>
        <v/>
      </c>
    </row>
    <row r="271">
      <c r="A271" s="43" t="inlineStr">
        <is>
          <t>EXPE</t>
        </is>
      </c>
      <c r="B271" s="44" t="inlineStr">
        <is>
          <t>Expedia Group, Inc.</t>
        </is>
      </c>
      <c r="C271" s="44" t="inlineStr">
        <is>
          <t>US</t>
        </is>
      </c>
      <c r="D271" s="44" t="inlineStr">
        <is>
          <t>S&amp;P 500</t>
        </is>
      </c>
      <c r="E271" s="44" t="inlineStr">
        <is>
          <t>Consumer Cyclical</t>
        </is>
      </c>
      <c r="F271" s="45" t="n">
        <v>40020164608</v>
      </c>
      <c r="G271" s="44" t="inlineStr">
        <is>
          <t>nightly refresh</t>
        </is>
      </c>
      <c r="H271" s="43" t="n">
        <v>275</v>
      </c>
      <c r="I271" s="44" t="inlineStr">
        <is>
          <t>No</t>
        </is>
      </c>
      <c r="J271" s="44" t="inlineStr">
        <is>
          <t>2005-07-21</t>
        </is>
      </c>
      <c r="K271" s="43" t="n">
        <v>5307</v>
      </c>
      <c r="L271" s="44" t="inlineStr">
        <is>
          <t>2005-07-21</t>
        </is>
      </c>
      <c r="M271" s="44" t="inlineStr">
        <is>
          <t>2026-08-25</t>
        </is>
      </c>
      <c r="N271" s="43" t="n">
        <v>302</v>
      </c>
      <c r="O271" s="46" t="n">
        <v>-24.1173</v>
      </c>
      <c r="P271" s="46" t="n">
        <v>-82.54470000000001</v>
      </c>
      <c r="Q271" s="46" t="n">
        <v>66.5583</v>
      </c>
      <c r="R271" s="46" t="n">
        <v>-0.9147</v>
      </c>
      <c r="S271" s="47">
        <f>IF($I271="Yes",$O271,"")</f>
        <v/>
      </c>
    </row>
    <row r="272">
      <c r="A272" s="48" t="inlineStr">
        <is>
          <t>F</t>
        </is>
      </c>
      <c r="B272" s="49" t="inlineStr">
        <is>
          <t>Ford Motor Company</t>
        </is>
      </c>
      <c r="C272" s="49" t="inlineStr">
        <is>
          <t>US</t>
        </is>
      </c>
      <c r="D272" s="49" t="inlineStr">
        <is>
          <t>S&amp;P 500</t>
        </is>
      </c>
      <c r="E272" s="49" t="inlineStr">
        <is>
          <t>Consumer Cyclical</t>
        </is>
      </c>
      <c r="F272" s="50" t="n">
        <v>55427579904</v>
      </c>
      <c r="G272" s="49" t="inlineStr">
        <is>
          <t>nightly refresh</t>
        </is>
      </c>
      <c r="H272" s="48" t="n">
        <v>225</v>
      </c>
      <c r="I272" s="49" t="inlineStr">
        <is>
          <t>No</t>
        </is>
      </c>
      <c r="J272" s="49" t="inlineStr">
        <is>
          <t>1972-06-01</t>
        </is>
      </c>
      <c r="K272" s="48" t="n">
        <v>6701</v>
      </c>
      <c r="L272" s="49" t="inlineStr">
        <is>
          <t>2000-01-03</t>
        </is>
      </c>
      <c r="M272" s="49" t="inlineStr">
        <is>
          <t>2026-08-25</t>
        </is>
      </c>
      <c r="N272" s="48" t="n">
        <v>372</v>
      </c>
      <c r="O272" s="51" t="n">
        <v>-26.2711</v>
      </c>
      <c r="P272" s="51" t="n">
        <v>-85.66549999999999</v>
      </c>
      <c r="Q272" s="51" t="n">
        <v>67.8096</v>
      </c>
      <c r="R272" s="51" t="n">
        <v>-21.5411</v>
      </c>
      <c r="S272" s="52">
        <f>IF($I272="Yes",$O272,"")</f>
        <v/>
      </c>
    </row>
    <row r="273">
      <c r="A273" s="43" t="inlineStr">
        <is>
          <t>GM</t>
        </is>
      </c>
      <c r="B273" s="44" t="inlineStr">
        <is>
          <t>General Motors Company</t>
        </is>
      </c>
      <c r="C273" s="44" t="inlineStr">
        <is>
          <t>US</t>
        </is>
      </c>
      <c r="D273" s="44" t="inlineStr">
        <is>
          <t>S&amp;P 500</t>
        </is>
      </c>
      <c r="E273" s="44" t="inlineStr">
        <is>
          <t>Consumer Cyclical</t>
        </is>
      </c>
      <c r="F273" s="45" t="n">
        <v>78081302528</v>
      </c>
      <c r="G273" s="44" t="inlineStr">
        <is>
          <t>nightly refresh</t>
        </is>
      </c>
      <c r="H273" s="43" t="n">
        <v>170</v>
      </c>
      <c r="I273" s="44" t="inlineStr">
        <is>
          <t>No</t>
        </is>
      </c>
      <c r="J273" s="44" t="inlineStr">
        <is>
          <t>2010-11-18</t>
        </is>
      </c>
      <c r="K273" s="43" t="n">
        <v>3964</v>
      </c>
      <c r="L273" s="44" t="inlineStr">
        <is>
          <t>2010-11-18</t>
        </is>
      </c>
      <c r="M273" s="44" t="inlineStr">
        <is>
          <t>2026-08-25</t>
        </is>
      </c>
      <c r="N273" s="43" t="n">
        <v>230</v>
      </c>
      <c r="O273" s="46" t="n">
        <v>-21.312</v>
      </c>
      <c r="P273" s="46" t="n">
        <v>-58.5683</v>
      </c>
      <c r="Q273" s="46" t="n">
        <v>49.7052</v>
      </c>
      <c r="R273" s="46" t="n">
        <v>-6.5759</v>
      </c>
      <c r="S273" s="47">
        <f>IF($I273="Yes",$O273,"")</f>
        <v/>
      </c>
    </row>
    <row r="274">
      <c r="A274" s="48" t="inlineStr">
        <is>
          <t>GPC</t>
        </is>
      </c>
      <c r="B274" s="49" t="inlineStr">
        <is>
          <t>Genuine Parts Company</t>
        </is>
      </c>
      <c r="C274" s="49" t="inlineStr">
        <is>
          <t>US</t>
        </is>
      </c>
      <c r="D274" s="49" t="inlineStr">
        <is>
          <t>S&amp;P 500</t>
        </is>
      </c>
      <c r="E274" s="49" t="inlineStr">
        <is>
          <t>Consumer Cyclical</t>
        </is>
      </c>
      <c r="F274" s="50" t="n">
        <v>19230058496</v>
      </c>
      <c r="G274" s="49" t="inlineStr">
        <is>
          <t>nightly refresh</t>
        </is>
      </c>
      <c r="H274" s="48" t="n">
        <v>409</v>
      </c>
      <c r="I274" s="49" t="inlineStr">
        <is>
          <t>No</t>
        </is>
      </c>
      <c r="J274" s="49" t="inlineStr">
        <is>
          <t>1980-03-17</t>
        </is>
      </c>
      <c r="K274" s="48" t="n">
        <v>6701</v>
      </c>
      <c r="L274" s="49" t="inlineStr">
        <is>
          <t>2000-01-03</t>
        </is>
      </c>
      <c r="M274" s="49" t="inlineStr">
        <is>
          <t>2026-08-25</t>
        </is>
      </c>
      <c r="N274" s="48" t="n">
        <v>312</v>
      </c>
      <c r="O274" s="51" t="n">
        <v>-14.5296</v>
      </c>
      <c r="P274" s="51" t="n">
        <v>-54.9168</v>
      </c>
      <c r="Q274" s="51" t="n">
        <v>32.4816</v>
      </c>
      <c r="R274" s="51" t="n">
        <v>-7.1516</v>
      </c>
      <c r="S274" s="52">
        <f>IF($I274="Yes",$O274,"")</f>
        <v/>
      </c>
    </row>
    <row r="275">
      <c r="A275" s="43" t="inlineStr">
        <is>
          <t>HAS</t>
        </is>
      </c>
      <c r="B275" s="44" t="inlineStr">
        <is>
          <t>Hasbro, Inc.</t>
        </is>
      </c>
      <c r="C275" s="44" t="inlineStr">
        <is>
          <t>US</t>
        </is>
      </c>
      <c r="D275" s="44" t="inlineStr">
        <is>
          <t>S&amp;P 500</t>
        </is>
      </c>
      <c r="E275" s="44" t="inlineStr">
        <is>
          <t>Consumer Cyclical</t>
        </is>
      </c>
      <c r="F275" s="45" t="n">
        <v>13581171712</v>
      </c>
      <c r="G275" s="44" t="inlineStr">
        <is>
          <t>nightly refresh</t>
        </is>
      </c>
      <c r="H275" s="43" t="n">
        <v>461</v>
      </c>
      <c r="I275" s="44" t="inlineStr">
        <is>
          <t>No</t>
        </is>
      </c>
      <c r="J275" s="44" t="inlineStr">
        <is>
          <t>1980-03-17</t>
        </is>
      </c>
      <c r="K275" s="43" t="n">
        <v>6701</v>
      </c>
      <c r="L275" s="44" t="inlineStr">
        <is>
          <t>2000-01-03</t>
        </is>
      </c>
      <c r="M275" s="44" t="inlineStr">
        <is>
          <t>2026-08-25</t>
        </is>
      </c>
      <c r="N275" s="43" t="n">
        <v>354</v>
      </c>
      <c r="O275" s="46" t="n">
        <v>-19.0645</v>
      </c>
      <c r="P275" s="46" t="n">
        <v>-64.07089999999999</v>
      </c>
      <c r="Q275" s="46" t="n">
        <v>44.6291</v>
      </c>
      <c r="R275" s="46" t="n">
        <v>-8.2027</v>
      </c>
      <c r="S275" s="47">
        <f>IF($I275="Yes",$O275,"")</f>
        <v/>
      </c>
    </row>
    <row r="276">
      <c r="A276" s="48" t="inlineStr">
        <is>
          <t>HD</t>
        </is>
      </c>
      <c r="B276" s="49" t="inlineStr">
        <is>
          <t>The Home Depot, Inc.</t>
        </is>
      </c>
      <c r="C276" s="49" t="inlineStr">
        <is>
          <t>US</t>
        </is>
      </c>
      <c r="D276" s="49" t="inlineStr">
        <is>
          <t>S&amp;P 500</t>
        </is>
      </c>
      <c r="E276" s="49" t="inlineStr">
        <is>
          <t>Consumer Cyclical</t>
        </is>
      </c>
      <c r="F276" s="50" t="n">
        <v>334076379136</v>
      </c>
      <c r="G276" s="49" t="inlineStr">
        <is>
          <t>nightly refresh</t>
        </is>
      </c>
      <c r="H276" s="48" t="n">
        <v>38</v>
      </c>
      <c r="I276" s="49" t="inlineStr">
        <is>
          <t>Yes</t>
        </is>
      </c>
      <c r="J276" s="49" t="inlineStr">
        <is>
          <t>1981-09-22</t>
        </is>
      </c>
      <c r="K276" s="48" t="n">
        <v>6701</v>
      </c>
      <c r="L276" s="49" t="inlineStr">
        <is>
          <t>2000-01-03</t>
        </is>
      </c>
      <c r="M276" s="49" t="inlineStr">
        <is>
          <t>2026-08-25</t>
        </is>
      </c>
      <c r="N276" s="48" t="n">
        <v>316</v>
      </c>
      <c r="O276" s="51" t="n">
        <v>-18.4091</v>
      </c>
      <c r="P276" s="51" t="n">
        <v>-60.7317</v>
      </c>
      <c r="Q276" s="51" t="n">
        <v>40.0954</v>
      </c>
      <c r="R276" s="51" t="n">
        <v>-19.1783</v>
      </c>
      <c r="S276" s="52">
        <f>IF($I276="Yes",$O276,"")</f>
        <v/>
      </c>
    </row>
    <row r="277">
      <c r="A277" s="43" t="inlineStr">
        <is>
          <t>HLT</t>
        </is>
      </c>
      <c r="B277" s="44" t="inlineStr">
        <is>
          <t>Hilton Worldwide Holdings Inc.</t>
        </is>
      </c>
      <c r="C277" s="44" t="inlineStr">
        <is>
          <t>US</t>
        </is>
      </c>
      <c r="D277" s="44" t="inlineStr">
        <is>
          <t>S&amp;P 500</t>
        </is>
      </c>
      <c r="E277" s="44" t="inlineStr">
        <is>
          <t>Consumer Cyclical</t>
        </is>
      </c>
      <c r="F277" s="45" t="n">
        <v>74847584256</v>
      </c>
      <c r="G277" s="44" t="inlineStr">
        <is>
          <t>nightly refresh</t>
        </is>
      </c>
      <c r="H277" s="43" t="n">
        <v>176</v>
      </c>
      <c r="I277" s="44" t="inlineStr">
        <is>
          <t>No</t>
        </is>
      </c>
      <c r="J277" s="44" t="inlineStr">
        <is>
          <t>2013-12-12</t>
        </is>
      </c>
      <c r="K277" s="43" t="n">
        <v>3193</v>
      </c>
      <c r="L277" s="44" t="inlineStr">
        <is>
          <t>2013-12-12</t>
        </is>
      </c>
      <c r="M277" s="44" t="inlineStr">
        <is>
          <t>2026-08-25</t>
        </is>
      </c>
      <c r="N277" s="43" t="n">
        <v>155</v>
      </c>
      <c r="O277" s="46" t="n">
        <v>-15.664</v>
      </c>
      <c r="P277" s="46" t="n">
        <v>-51.4844</v>
      </c>
      <c r="Q277" s="46" t="n">
        <v>49.1316</v>
      </c>
      <c r="R277" s="46" t="n">
        <v>-8.013999999999999</v>
      </c>
      <c r="S277" s="47">
        <f>IF($I277="Yes",$O277,"")</f>
        <v/>
      </c>
    </row>
    <row r="278">
      <c r="A278" s="48" t="inlineStr">
        <is>
          <t>IP</t>
        </is>
      </c>
      <c r="B278" s="49" t="inlineStr">
        <is>
          <t>International Paper Company</t>
        </is>
      </c>
      <c r="C278" s="49" t="inlineStr">
        <is>
          <t>US</t>
        </is>
      </c>
      <c r="D278" s="49" t="inlineStr">
        <is>
          <t>S&amp;P 500</t>
        </is>
      </c>
      <c r="E278" s="49" t="inlineStr">
        <is>
          <t>Consumer Cyclical</t>
        </is>
      </c>
      <c r="F278" s="50" t="n">
        <v>21918898176</v>
      </c>
      <c r="G278" s="49" t="inlineStr">
        <is>
          <t>nightly refresh</t>
        </is>
      </c>
      <c r="H278" s="48" t="n">
        <v>389</v>
      </c>
      <c r="I278" s="49" t="inlineStr">
        <is>
          <t>No</t>
        </is>
      </c>
      <c r="J278" s="49" t="inlineStr">
        <is>
          <t>1962-01-02</t>
        </is>
      </c>
      <c r="K278" s="48" t="n">
        <v>6701</v>
      </c>
      <c r="L278" s="49" t="inlineStr">
        <is>
          <t>2000-01-03</t>
        </is>
      </c>
      <c r="M278" s="49" t="inlineStr">
        <is>
          <t>2026-08-25</t>
        </is>
      </c>
      <c r="N278" s="48" t="n">
        <v>363</v>
      </c>
      <c r="O278" s="51" t="n">
        <v>-20.6595</v>
      </c>
      <c r="P278" s="51" t="n">
        <v>-86.55110000000001</v>
      </c>
      <c r="Q278" s="51" t="n">
        <v>49.4931</v>
      </c>
      <c r="R278" s="51" t="n">
        <v>-16.385</v>
      </c>
      <c r="S278" s="52">
        <f>IF($I278="Yes",$O278,"")</f>
        <v/>
      </c>
    </row>
    <row r="279">
      <c r="A279" s="43" t="inlineStr">
        <is>
          <t>LEN</t>
        </is>
      </c>
      <c r="B279" s="44" t="inlineStr">
        <is>
          <t>Lennar Corporation</t>
        </is>
      </c>
      <c r="C279" s="44" t="inlineStr">
        <is>
          <t>US</t>
        </is>
      </c>
      <c r="D279" s="44" t="inlineStr">
        <is>
          <t>S&amp;P 500</t>
        </is>
      </c>
      <c r="E279" s="44" t="inlineStr">
        <is>
          <t>Consumer Cyclical</t>
        </is>
      </c>
      <c r="F279" s="45" t="n">
        <v>20994011136</v>
      </c>
      <c r="G279" s="44" t="inlineStr">
        <is>
          <t>nightly refresh</t>
        </is>
      </c>
      <c r="H279" s="43" t="n">
        <v>396</v>
      </c>
      <c r="I279" s="44" t="inlineStr">
        <is>
          <t>No</t>
        </is>
      </c>
      <c r="J279" s="44" t="inlineStr">
        <is>
          <t>1980-03-17</t>
        </is>
      </c>
      <c r="K279" s="43" t="n">
        <v>6701</v>
      </c>
      <c r="L279" s="44" t="inlineStr">
        <is>
          <t>2000-01-03</t>
        </is>
      </c>
      <c r="M279" s="44" t="inlineStr">
        <is>
          <t>2026-08-25</t>
        </is>
      </c>
      <c r="N279" s="43" t="n">
        <v>413</v>
      </c>
      <c r="O279" s="46" t="n">
        <v>-23.6728</v>
      </c>
      <c r="P279" s="46" t="n">
        <v>-83.56399999999999</v>
      </c>
      <c r="Q279" s="46" t="n">
        <v>67.2342</v>
      </c>
      <c r="R279" s="46" t="n">
        <v>-38.356</v>
      </c>
      <c r="S279" s="47">
        <f>IF($I279="Yes",$O279,"")</f>
        <v/>
      </c>
    </row>
    <row r="280">
      <c r="A280" s="48" t="inlineStr">
        <is>
          <t>LOW</t>
        </is>
      </c>
      <c r="B280" s="49" t="inlineStr">
        <is>
          <t>Lowe's Companies, Inc.</t>
        </is>
      </c>
      <c r="C280" s="49" t="inlineStr">
        <is>
          <t>US</t>
        </is>
      </c>
      <c r="D280" s="49" t="inlineStr">
        <is>
          <t>S&amp;P 500</t>
        </is>
      </c>
      <c r="E280" s="49" t="inlineStr">
        <is>
          <t>Consumer Cyclical</t>
        </is>
      </c>
      <c r="F280" s="50" t="n">
        <v>115981143081.665</v>
      </c>
      <c r="G280" s="49" t="inlineStr">
        <is>
          <t>re-fetched 28 Aug 2026</t>
        </is>
      </c>
      <c r="H280" s="48" t="n">
        <v>105</v>
      </c>
      <c r="I280" s="49" t="inlineStr">
        <is>
          <t>No</t>
        </is>
      </c>
      <c r="J280" s="49" t="inlineStr">
        <is>
          <t>1980-03-17</t>
        </is>
      </c>
      <c r="K280" s="48" t="n">
        <v>6701</v>
      </c>
      <c r="L280" s="49" t="inlineStr">
        <is>
          <t>2000-01-03</t>
        </is>
      </c>
      <c r="M280" s="49" t="inlineStr">
        <is>
          <t>2026-08-25</t>
        </is>
      </c>
      <c r="N280" s="48" t="n">
        <v>358</v>
      </c>
      <c r="O280" s="51" t="n">
        <v>-17.3631</v>
      </c>
      <c r="P280" s="51" t="n">
        <v>-52.5932</v>
      </c>
      <c r="Q280" s="51" t="n">
        <v>44.4834</v>
      </c>
      <c r="R280" s="51" t="n">
        <v>-26.4212</v>
      </c>
      <c r="S280" s="52">
        <f>IF($I280="Yes",$O280,"")</f>
        <v/>
      </c>
    </row>
    <row r="281">
      <c r="A281" s="43" t="inlineStr">
        <is>
          <t>LULU</t>
        </is>
      </c>
      <c r="B281" s="44" t="inlineStr">
        <is>
          <t>lululemon athletica inc.</t>
        </is>
      </c>
      <c r="C281" s="44" t="inlineStr">
        <is>
          <t>US</t>
        </is>
      </c>
      <c r="D281" s="44" t="inlineStr">
        <is>
          <t>S&amp;P 500</t>
        </is>
      </c>
      <c r="E281" s="44" t="inlineStr">
        <is>
          <t>Consumer Cyclical</t>
        </is>
      </c>
      <c r="F281" s="45" t="n">
        <v>13211998208</v>
      </c>
      <c r="G281" s="44" t="inlineStr">
        <is>
          <t>nightly refresh</t>
        </is>
      </c>
      <c r="H281" s="43" t="n">
        <v>464</v>
      </c>
      <c r="I281" s="44" t="inlineStr">
        <is>
          <t>No</t>
        </is>
      </c>
      <c r="J281" s="44" t="inlineStr">
        <is>
          <t>2007-07-27</t>
        </is>
      </c>
      <c r="K281" s="43" t="n">
        <v>4800</v>
      </c>
      <c r="L281" s="44" t="inlineStr">
        <is>
          <t>2007-07-27</t>
        </is>
      </c>
      <c r="M281" s="44" t="inlineStr">
        <is>
          <t>2026-08-25</t>
        </is>
      </c>
      <c r="N281" s="43" t="n">
        <v>271</v>
      </c>
      <c r="O281" s="46" t="n">
        <v>-28.1859</v>
      </c>
      <c r="P281" s="46" t="n">
        <v>-87.9721</v>
      </c>
      <c r="Q281" s="46" t="n">
        <v>90.4256</v>
      </c>
      <c r="R281" s="46" t="n">
        <v>-47.637</v>
      </c>
      <c r="S281" s="47">
        <f>IF($I281="Yes",$O281,"")</f>
        <v/>
      </c>
    </row>
    <row r="282">
      <c r="A282" s="48" t="inlineStr">
        <is>
          <t>LVS</t>
        </is>
      </c>
      <c r="B282" s="49" t="inlineStr">
        <is>
          <t>Las Vegas Sands Corp.</t>
        </is>
      </c>
      <c r="C282" s="49" t="inlineStr">
        <is>
          <t>US</t>
        </is>
      </c>
      <c r="D282" s="49" t="inlineStr">
        <is>
          <t>S&amp;P 500</t>
        </is>
      </c>
      <c r="E282" s="49" t="inlineStr">
        <is>
          <t>Consumer Cyclical</t>
        </is>
      </c>
      <c r="F282" s="50" t="n">
        <v>29943226368</v>
      </c>
      <c r="G282" s="49" t="inlineStr">
        <is>
          <t>nightly refresh</t>
        </is>
      </c>
      <c r="H282" s="48" t="n">
        <v>316</v>
      </c>
      <c r="I282" s="49" t="inlineStr">
        <is>
          <t>No</t>
        </is>
      </c>
      <c r="J282" s="49" t="inlineStr">
        <is>
          <t>2004-12-15</t>
        </is>
      </c>
      <c r="K282" s="48" t="n">
        <v>5457</v>
      </c>
      <c r="L282" s="49" t="inlineStr">
        <is>
          <t>2004-12-15</t>
        </is>
      </c>
      <c r="M282" s="49" t="inlineStr">
        <is>
          <t>2026-08-25</t>
        </is>
      </c>
      <c r="N282" s="48" t="n">
        <v>311</v>
      </c>
      <c r="O282" s="51" t="n">
        <v>-27.3947</v>
      </c>
      <c r="P282" s="51" t="n">
        <v>-98.31529999999999</v>
      </c>
      <c r="Q282" s="51" t="n">
        <v>105.248</v>
      </c>
      <c r="R282" s="51" t="n">
        <v>-32.1603</v>
      </c>
      <c r="S282" s="52">
        <f>IF($I282="Yes",$O282,"")</f>
        <v/>
      </c>
    </row>
    <row r="283">
      <c r="A283" s="43" t="inlineStr">
        <is>
          <t>MAR</t>
        </is>
      </c>
      <c r="B283" s="44" t="inlineStr">
        <is>
          <t>Marriott International, Inc.</t>
        </is>
      </c>
      <c r="C283" s="44" t="inlineStr">
        <is>
          <t>US</t>
        </is>
      </c>
      <c r="D283" s="44" t="inlineStr">
        <is>
          <t>S&amp;P 500</t>
        </is>
      </c>
      <c r="E283" s="44" t="inlineStr">
        <is>
          <t>Consumer Cyclical</t>
        </is>
      </c>
      <c r="F283" s="45" t="n">
        <v>93529047040</v>
      </c>
      <c r="G283" s="44" t="inlineStr">
        <is>
          <t>nightly refresh</t>
        </is>
      </c>
      <c r="H283" s="43" t="n">
        <v>137</v>
      </c>
      <c r="I283" s="44" t="inlineStr">
        <is>
          <t>No</t>
        </is>
      </c>
      <c r="J283" s="44" t="inlineStr">
        <is>
          <t>1998-03-23</t>
        </is>
      </c>
      <c r="K283" s="43" t="n">
        <v>6701</v>
      </c>
      <c r="L283" s="44" t="inlineStr">
        <is>
          <t>2000-01-03</t>
        </is>
      </c>
      <c r="M283" s="44" t="inlineStr">
        <is>
          <t>2026-08-25</t>
        </is>
      </c>
      <c r="N283" s="43" t="n">
        <v>347</v>
      </c>
      <c r="O283" s="46" t="n">
        <v>-18.3362</v>
      </c>
      <c r="P283" s="46" t="n">
        <v>-66.83069999999999</v>
      </c>
      <c r="Q283" s="46" t="n">
        <v>51.7192</v>
      </c>
      <c r="R283" s="46" t="n">
        <v>-12.9471</v>
      </c>
      <c r="S283" s="47">
        <f>IF($I283="Yes",$O283,"")</f>
        <v/>
      </c>
    </row>
    <row r="284">
      <c r="A284" s="48" t="inlineStr">
        <is>
          <t>MCD</t>
        </is>
      </c>
      <c r="B284" s="49" t="inlineStr">
        <is>
          <t>McDonald's Corporation</t>
        </is>
      </c>
      <c r="C284" s="49" t="inlineStr">
        <is>
          <t>US</t>
        </is>
      </c>
      <c r="D284" s="49" t="inlineStr">
        <is>
          <t>S&amp;P 500</t>
        </is>
      </c>
      <c r="E284" s="49" t="inlineStr">
        <is>
          <t>Consumer Cyclical</t>
        </is>
      </c>
      <c r="F284" s="50" t="n">
        <v>188890742784</v>
      </c>
      <c r="G284" s="49" t="inlineStr">
        <is>
          <t>nightly refresh</t>
        </is>
      </c>
      <c r="H284" s="48" t="n">
        <v>68</v>
      </c>
      <c r="I284" s="49" t="inlineStr">
        <is>
          <t>No</t>
        </is>
      </c>
      <c r="J284" s="49" t="inlineStr">
        <is>
          <t>1966-07-05</t>
        </is>
      </c>
      <c r="K284" s="48" t="n">
        <v>6701</v>
      </c>
      <c r="L284" s="49" t="inlineStr">
        <is>
          <t>2000-01-03</t>
        </is>
      </c>
      <c r="M284" s="49" t="inlineStr">
        <is>
          <t>2026-08-25</t>
        </is>
      </c>
      <c r="N284" s="48" t="n">
        <v>271</v>
      </c>
      <c r="O284" s="51" t="n">
        <v>-13.6378</v>
      </c>
      <c r="P284" s="51" t="n">
        <v>-59.1386</v>
      </c>
      <c r="Q284" s="51" t="n">
        <v>31.9455</v>
      </c>
      <c r="R284" s="51" t="n">
        <v>-20.5776</v>
      </c>
      <c r="S284" s="52">
        <f>IF($I284="Yes",$O284,"")</f>
        <v/>
      </c>
    </row>
    <row r="285">
      <c r="A285" s="43" t="inlineStr">
        <is>
          <t>MGM</t>
        </is>
      </c>
      <c r="B285" s="44" t="inlineStr">
        <is>
          <t>MGM Resorts International</t>
        </is>
      </c>
      <c r="C285" s="44" t="inlineStr">
        <is>
          <t>US</t>
        </is>
      </c>
      <c r="D285" s="44" t="inlineStr">
        <is>
          <t>S&amp;P 500</t>
        </is>
      </c>
      <c r="E285" s="44" t="inlineStr">
        <is>
          <t>Consumer Cyclical</t>
        </is>
      </c>
      <c r="F285" s="45" t="n">
        <v>11119294464</v>
      </c>
      <c r="G285" s="44" t="inlineStr">
        <is>
          <t>nightly refresh</t>
        </is>
      </c>
      <c r="H285" s="43" t="n">
        <v>483</v>
      </c>
      <c r="I285" s="44" t="inlineStr">
        <is>
          <t>No</t>
        </is>
      </c>
      <c r="J285" s="44" t="inlineStr">
        <is>
          <t>1988-05-02</t>
        </is>
      </c>
      <c r="K285" s="43" t="n">
        <v>6701</v>
      </c>
      <c r="L285" s="44" t="inlineStr">
        <is>
          <t>2000-01-03</t>
        </is>
      </c>
      <c r="M285" s="44" t="inlineStr">
        <is>
          <t>2026-08-25</t>
        </is>
      </c>
      <c r="N285" s="43" t="n">
        <v>384</v>
      </c>
      <c r="O285" s="46" t="n">
        <v>-25.8027</v>
      </c>
      <c r="P285" s="46" t="n">
        <v>-97.0856</v>
      </c>
      <c r="Q285" s="46" t="n">
        <v>88.97069999999999</v>
      </c>
      <c r="R285" s="46" t="n">
        <v>-15.9915</v>
      </c>
      <c r="S285" s="47">
        <f>IF($I285="Yes",$O285,"")</f>
        <v/>
      </c>
    </row>
    <row r="286">
      <c r="A286" s="48" t="inlineStr">
        <is>
          <t>NCLH</t>
        </is>
      </c>
      <c r="B286" s="49" t="inlineStr">
        <is>
          <t>Norwegian Cruise Line Holdings Ltd.</t>
        </is>
      </c>
      <c r="C286" s="49" t="inlineStr">
        <is>
          <t>US</t>
        </is>
      </c>
      <c r="D286" s="49" t="inlineStr">
        <is>
          <t>S&amp;P 500</t>
        </is>
      </c>
      <c r="E286" s="49" t="inlineStr">
        <is>
          <t>Consumer Cyclical</t>
        </is>
      </c>
      <c r="F286" s="50" t="n">
        <v>7847520256</v>
      </c>
      <c r="G286" s="49" t="inlineStr">
        <is>
          <t>nightly refresh</t>
        </is>
      </c>
      <c r="H286" s="48" t="n">
        <v>497</v>
      </c>
      <c r="I286" s="49" t="inlineStr">
        <is>
          <t>No</t>
        </is>
      </c>
      <c r="J286" s="49" t="inlineStr">
        <is>
          <t>2013-01-18</t>
        </is>
      </c>
      <c r="K286" s="48" t="n">
        <v>3420</v>
      </c>
      <c r="L286" s="49" t="inlineStr">
        <is>
          <t>2013-01-18</t>
        </is>
      </c>
      <c r="M286" s="49" t="inlineStr">
        <is>
          <t>2026-08-25</t>
        </is>
      </c>
      <c r="N286" s="48" t="n">
        <v>201</v>
      </c>
      <c r="O286" s="51" t="n">
        <v>-27.5456</v>
      </c>
      <c r="P286" s="51" t="n">
        <v>-87.00230000000001</v>
      </c>
      <c r="Q286" s="51" t="n">
        <v>61.9743</v>
      </c>
      <c r="R286" s="51" t="n">
        <v>-36.4974</v>
      </c>
      <c r="S286" s="52">
        <f>IF($I286="Yes",$O286,"")</f>
        <v/>
      </c>
    </row>
    <row r="287">
      <c r="A287" s="43" t="inlineStr">
        <is>
          <t>NKE</t>
        </is>
      </c>
      <c r="B287" s="44" t="inlineStr">
        <is>
          <t>NIKE, Inc.</t>
        </is>
      </c>
      <c r="C287" s="44" t="inlineStr">
        <is>
          <t>US</t>
        </is>
      </c>
      <c r="D287" s="44" t="inlineStr">
        <is>
          <t>S&amp;P 500</t>
        </is>
      </c>
      <c r="E287" s="44" t="inlineStr">
        <is>
          <t>Consumer Cyclical</t>
        </is>
      </c>
      <c r="F287" s="45" t="n">
        <v>57248215040</v>
      </c>
      <c r="G287" s="44" t="inlineStr">
        <is>
          <t>nightly refresh</t>
        </is>
      </c>
      <c r="H287" s="43" t="n">
        <v>214</v>
      </c>
      <c r="I287" s="44" t="inlineStr">
        <is>
          <t>No</t>
        </is>
      </c>
      <c r="J287" s="44" t="inlineStr">
        <is>
          <t>1980-12-02</t>
        </is>
      </c>
      <c r="K287" s="43" t="n">
        <v>6701</v>
      </c>
      <c r="L287" s="44" t="inlineStr">
        <is>
          <t>2000-01-03</t>
        </is>
      </c>
      <c r="M287" s="44" t="inlineStr">
        <is>
          <t>2026-08-25</t>
        </is>
      </c>
      <c r="N287" s="43" t="n">
        <v>343</v>
      </c>
      <c r="O287" s="46" t="n">
        <v>-18.3913</v>
      </c>
      <c r="P287" s="46" t="n">
        <v>-53.151</v>
      </c>
      <c r="Q287" s="46" t="n">
        <v>40.0339</v>
      </c>
      <c r="R287" s="46" t="n">
        <v>-49.4033</v>
      </c>
      <c r="S287" s="47">
        <f>IF($I287="Yes",$O287,"")</f>
        <v/>
      </c>
    </row>
    <row r="288">
      <c r="A288" s="48" t="inlineStr">
        <is>
          <t>NVR</t>
        </is>
      </c>
      <c r="B288" s="49" t="inlineStr">
        <is>
          <t>NVR, Inc.</t>
        </is>
      </c>
      <c r="C288" s="49" t="inlineStr">
        <is>
          <t>US</t>
        </is>
      </c>
      <c r="D288" s="49" t="inlineStr">
        <is>
          <t>S&amp;P 500</t>
        </is>
      </c>
      <c r="E288" s="49" t="inlineStr">
        <is>
          <t>Consumer Cyclical</t>
        </is>
      </c>
      <c r="F288" s="50" t="n">
        <v>17054799872</v>
      </c>
      <c r="G288" s="49" t="inlineStr">
        <is>
          <t>nightly refresh</t>
        </is>
      </c>
      <c r="H288" s="48" t="n">
        <v>429</v>
      </c>
      <c r="I288" s="49" t="inlineStr">
        <is>
          <t>No</t>
        </is>
      </c>
      <c r="J288" s="49" t="inlineStr">
        <is>
          <t>1985-07-22</t>
        </is>
      </c>
      <c r="K288" s="48" t="n">
        <v>6701</v>
      </c>
      <c r="L288" s="49" t="inlineStr">
        <is>
          <t>2000-01-03</t>
        </is>
      </c>
      <c r="M288" s="49" t="inlineStr">
        <is>
          <t>2026-08-25</t>
        </is>
      </c>
      <c r="N288" s="48" t="n">
        <v>350</v>
      </c>
      <c r="O288" s="51" t="n">
        <v>-18.9533</v>
      </c>
      <c r="P288" s="51" t="n">
        <v>-58.4366</v>
      </c>
      <c r="Q288" s="51" t="n">
        <v>59.2506</v>
      </c>
      <c r="R288" s="51" t="n">
        <v>-25.3477</v>
      </c>
      <c r="S288" s="52">
        <f>IF($I288="Yes",$O288,"")</f>
        <v/>
      </c>
    </row>
    <row r="289">
      <c r="A289" s="43" t="inlineStr">
        <is>
          <t>ORLY</t>
        </is>
      </c>
      <c r="B289" s="44" t="inlineStr">
        <is>
          <t>O'Reilly Automotive, Inc.</t>
        </is>
      </c>
      <c r="C289" s="44" t="inlineStr">
        <is>
          <t>US</t>
        </is>
      </c>
      <c r="D289" s="44" t="inlineStr">
        <is>
          <t>S&amp;P 500</t>
        </is>
      </c>
      <c r="E289" s="44" t="inlineStr">
        <is>
          <t>Consumer Cyclical</t>
        </is>
      </c>
      <c r="F289" s="45" t="n">
        <v>72442437632</v>
      </c>
      <c r="G289" s="44" t="inlineStr">
        <is>
          <t>nightly refresh</t>
        </is>
      </c>
      <c r="H289" s="43" t="n">
        <v>182</v>
      </c>
      <c r="I289" s="44" t="inlineStr">
        <is>
          <t>No</t>
        </is>
      </c>
      <c r="J289" s="44" t="inlineStr">
        <is>
          <t>1993-04-23</t>
        </is>
      </c>
      <c r="K289" s="43" t="n">
        <v>6701</v>
      </c>
      <c r="L289" s="44" t="inlineStr">
        <is>
          <t>2000-01-03</t>
        </is>
      </c>
      <c r="M289" s="44" t="inlineStr">
        <is>
          <t>2026-08-25</t>
        </is>
      </c>
      <c r="N289" s="43" t="n">
        <v>331</v>
      </c>
      <c r="O289" s="46" t="n">
        <v>-15.7181</v>
      </c>
      <c r="P289" s="46" t="n">
        <v>-58.1921</v>
      </c>
      <c r="Q289" s="46" t="n">
        <v>49.8232</v>
      </c>
      <c r="R289" s="46" t="n">
        <v>-16.9242</v>
      </c>
      <c r="S289" s="47">
        <f>IF($I289="Yes",$O289,"")</f>
        <v/>
      </c>
    </row>
    <row r="290">
      <c r="A290" s="48" t="inlineStr">
        <is>
          <t>PHM</t>
        </is>
      </c>
      <c r="B290" s="49" t="inlineStr">
        <is>
          <t>PulteGroup, Inc.</t>
        </is>
      </c>
      <c r="C290" s="49" t="inlineStr">
        <is>
          <t>US</t>
        </is>
      </c>
      <c r="D290" s="49" t="inlineStr">
        <is>
          <t>S&amp;P 500</t>
        </is>
      </c>
      <c r="E290" s="49" t="inlineStr">
        <is>
          <t>Consumer Cyclical</t>
        </is>
      </c>
      <c r="F290" s="50" t="n">
        <v>24144145242.75</v>
      </c>
      <c r="G290" s="49" t="inlineStr">
        <is>
          <t>re-fetched 28 Aug 2026</t>
        </is>
      </c>
      <c r="H290" s="48" t="n">
        <v>373</v>
      </c>
      <c r="I290" s="49" t="inlineStr">
        <is>
          <t>No</t>
        </is>
      </c>
      <c r="J290" s="49" t="inlineStr">
        <is>
          <t>1980-03-17</t>
        </is>
      </c>
      <c r="K290" s="48" t="n">
        <v>6701</v>
      </c>
      <c r="L290" s="49" t="inlineStr">
        <is>
          <t>2000-01-03</t>
        </is>
      </c>
      <c r="M290" s="49" t="inlineStr">
        <is>
          <t>2026-08-25</t>
        </is>
      </c>
      <c r="N290" s="48" t="n">
        <v>382</v>
      </c>
      <c r="O290" s="51" t="n">
        <v>-24.5225</v>
      </c>
      <c r="P290" s="51" t="n">
        <v>-75.41840000000001</v>
      </c>
      <c r="Q290" s="51" t="n">
        <v>69.9267</v>
      </c>
      <c r="R290" s="51" t="n">
        <v>-9.2463</v>
      </c>
      <c r="S290" s="52">
        <f>IF($I290="Yes",$O290,"")</f>
        <v/>
      </c>
    </row>
    <row r="291">
      <c r="A291" s="43" t="inlineStr">
        <is>
          <t>PKG</t>
        </is>
      </c>
      <c r="B291" s="44" t="inlineStr">
        <is>
          <t>Packaging Corporation of America</t>
        </is>
      </c>
      <c r="C291" s="44" t="inlineStr">
        <is>
          <t>US</t>
        </is>
      </c>
      <c r="D291" s="44" t="inlineStr">
        <is>
          <t>S&amp;P 500</t>
        </is>
      </c>
      <c r="E291" s="44" t="inlineStr">
        <is>
          <t>Consumer Cyclical</t>
        </is>
      </c>
      <c r="F291" s="45" t="n">
        <v>21978767360</v>
      </c>
      <c r="G291" s="44" t="inlineStr">
        <is>
          <t>nightly refresh</t>
        </is>
      </c>
      <c r="H291" s="43" t="n">
        <v>388</v>
      </c>
      <c r="I291" s="44" t="inlineStr">
        <is>
          <t>No</t>
        </is>
      </c>
      <c r="J291" s="44" t="inlineStr">
        <is>
          <t>2000-01-28</t>
        </is>
      </c>
      <c r="K291" s="43" t="n">
        <v>6683</v>
      </c>
      <c r="L291" s="44" t="inlineStr">
        <is>
          <t>2000-01-28</t>
        </is>
      </c>
      <c r="M291" s="44" t="inlineStr">
        <is>
          <t>2026-08-25</t>
        </is>
      </c>
      <c r="N291" s="43" t="n">
        <v>356</v>
      </c>
      <c r="O291" s="46" t="n">
        <v>-16.3587</v>
      </c>
      <c r="P291" s="46" t="n">
        <v>-62.3233</v>
      </c>
      <c r="Q291" s="46" t="n">
        <v>43.1435</v>
      </c>
      <c r="R291" s="46" t="n">
        <v>-5.1696</v>
      </c>
      <c r="S291" s="47">
        <f>IF($I291="Yes",$O291,"")</f>
        <v/>
      </c>
    </row>
    <row r="292">
      <c r="A292" s="48" t="inlineStr">
        <is>
          <t>RCL</t>
        </is>
      </c>
      <c r="B292" s="49" t="inlineStr">
        <is>
          <t>Royal Caribbean Cruises Ltd.</t>
        </is>
      </c>
      <c r="C292" s="49" t="inlineStr">
        <is>
          <t>US</t>
        </is>
      </c>
      <c r="D292" s="49" t="inlineStr">
        <is>
          <t>S&amp;P 500</t>
        </is>
      </c>
      <c r="E292" s="49" t="inlineStr">
        <is>
          <t>Consumer Cyclical</t>
        </is>
      </c>
      <c r="F292" s="50" t="n">
        <v>77561102336</v>
      </c>
      <c r="G292" s="49" t="inlineStr">
        <is>
          <t>nightly refresh</t>
        </is>
      </c>
      <c r="H292" s="48" t="n">
        <v>171</v>
      </c>
      <c r="I292" s="49" t="inlineStr">
        <is>
          <t>No</t>
        </is>
      </c>
      <c r="J292" s="49" t="inlineStr">
        <is>
          <t>1993-04-28</t>
        </is>
      </c>
      <c r="K292" s="48" t="n">
        <v>6701</v>
      </c>
      <c r="L292" s="49" t="inlineStr">
        <is>
          <t>2000-01-03</t>
        </is>
      </c>
      <c r="M292" s="49" t="inlineStr">
        <is>
          <t>2026-08-25</t>
        </is>
      </c>
      <c r="N292" s="48" t="n">
        <v>361</v>
      </c>
      <c r="O292" s="51" t="n">
        <v>-26.7098</v>
      </c>
      <c r="P292" s="51" t="n">
        <v>-85.20229999999999</v>
      </c>
      <c r="Q292" s="51" t="n">
        <v>84.50239999999999</v>
      </c>
      <c r="R292" s="51" t="n">
        <v>-18.8847</v>
      </c>
      <c r="S292" s="52">
        <f>IF($I292="Yes",$O292,"")</f>
        <v/>
      </c>
    </row>
    <row r="293">
      <c r="A293" s="43" t="inlineStr">
        <is>
          <t>RL</t>
        </is>
      </c>
      <c r="B293" s="44" t="inlineStr">
        <is>
          <t>Ralph Lauren Corporation</t>
        </is>
      </c>
      <c r="C293" s="44" t="inlineStr">
        <is>
          <t>US</t>
        </is>
      </c>
      <c r="D293" s="44" t="inlineStr">
        <is>
          <t>S&amp;P 500</t>
        </is>
      </c>
      <c r="E293" s="44" t="inlineStr">
        <is>
          <t>Consumer Cyclical</t>
        </is>
      </c>
      <c r="F293" s="45" t="n">
        <v>21587836928</v>
      </c>
      <c r="G293" s="44" t="inlineStr">
        <is>
          <t>nightly refresh</t>
        </is>
      </c>
      <c r="H293" s="43" t="n">
        <v>394</v>
      </c>
      <c r="I293" s="44" t="inlineStr">
        <is>
          <t>No</t>
        </is>
      </c>
      <c r="J293" s="44" t="inlineStr">
        <is>
          <t>1997-06-12</t>
        </is>
      </c>
      <c r="K293" s="43" t="n">
        <v>6701</v>
      </c>
      <c r="L293" s="44" t="inlineStr">
        <is>
          <t>2000-01-03</t>
        </is>
      </c>
      <c r="M293" s="44" t="inlineStr">
        <is>
          <t>2026-08-25</t>
        </is>
      </c>
      <c r="N293" s="43" t="n">
        <v>361</v>
      </c>
      <c r="O293" s="46" t="n">
        <v>-20.9672</v>
      </c>
      <c r="P293" s="46" t="n">
        <v>-60.9845</v>
      </c>
      <c r="Q293" s="46" t="n">
        <v>53.5635</v>
      </c>
      <c r="R293" s="46" t="n">
        <v>-13.7841</v>
      </c>
      <c r="S293" s="47">
        <f>IF($I293="Yes",$O293,"")</f>
        <v/>
      </c>
    </row>
    <row r="294">
      <c r="A294" s="48" t="inlineStr">
        <is>
          <t>ROL</t>
        </is>
      </c>
      <c r="B294" s="49" t="inlineStr">
        <is>
          <t>Rollins, Inc.</t>
        </is>
      </c>
      <c r="C294" s="49" t="inlineStr">
        <is>
          <t>US</t>
        </is>
      </c>
      <c r="D294" s="49" t="inlineStr">
        <is>
          <t>S&amp;P 500</t>
        </is>
      </c>
      <c r="E294" s="49" t="inlineStr">
        <is>
          <t>Consumer Cyclical</t>
        </is>
      </c>
      <c r="F294" s="50" t="n">
        <v>17658036224</v>
      </c>
      <c r="G294" s="49" t="inlineStr">
        <is>
          <t>nightly refresh</t>
        </is>
      </c>
      <c r="H294" s="48" t="n">
        <v>424</v>
      </c>
      <c r="I294" s="49" t="inlineStr">
        <is>
          <t>No</t>
        </is>
      </c>
      <c r="J294" s="49" t="inlineStr">
        <is>
          <t>1980-03-17</t>
        </is>
      </c>
      <c r="K294" s="48" t="n">
        <v>6701</v>
      </c>
      <c r="L294" s="49" t="inlineStr">
        <is>
          <t>2000-01-03</t>
        </is>
      </c>
      <c r="M294" s="49" t="inlineStr">
        <is>
          <t>2026-08-25</t>
        </is>
      </c>
      <c r="N294" s="48" t="n">
        <v>312</v>
      </c>
      <c r="O294" s="51" t="n">
        <v>-14.1613</v>
      </c>
      <c r="P294" s="51" t="n">
        <v>-45.1882</v>
      </c>
      <c r="Q294" s="51" t="n">
        <v>40.9763</v>
      </c>
      <c r="R294" s="51" t="n">
        <v>-44.6708</v>
      </c>
      <c r="S294" s="52">
        <f>IF($I294="Yes",$O294,"")</f>
        <v/>
      </c>
    </row>
    <row r="295">
      <c r="A295" s="43" t="inlineStr">
        <is>
          <t>ROST</t>
        </is>
      </c>
      <c r="B295" s="44" t="inlineStr">
        <is>
          <t>Ross Stores, Inc.</t>
        </is>
      </c>
      <c r="C295" s="44" t="inlineStr">
        <is>
          <t>US</t>
        </is>
      </c>
      <c r="D295" s="44" t="inlineStr">
        <is>
          <t>S&amp;P 500</t>
        </is>
      </c>
      <c r="E295" s="44" t="inlineStr">
        <is>
          <t>Consumer Cyclical</t>
        </is>
      </c>
      <c r="F295" s="45" t="n">
        <v>75790950400</v>
      </c>
      <c r="G295" s="44" t="inlineStr">
        <is>
          <t>nightly refresh</t>
        </is>
      </c>
      <c r="H295" s="43" t="n">
        <v>174</v>
      </c>
      <c r="I295" s="44" t="inlineStr">
        <is>
          <t>No</t>
        </is>
      </c>
      <c r="J295" s="44" t="inlineStr">
        <is>
          <t>1985-08-08</t>
        </is>
      </c>
      <c r="K295" s="43" t="n">
        <v>6701</v>
      </c>
      <c r="L295" s="44" t="inlineStr">
        <is>
          <t>2000-01-03</t>
        </is>
      </c>
      <c r="M295" s="44" t="inlineStr">
        <is>
          <t>2026-08-25</t>
        </is>
      </c>
      <c r="N295" s="43" t="n">
        <v>350</v>
      </c>
      <c r="O295" s="46" t="n">
        <v>-16.1618</v>
      </c>
      <c r="P295" s="46" t="n">
        <v>-51.5507</v>
      </c>
      <c r="Q295" s="46" t="n">
        <v>51.8492</v>
      </c>
      <c r="R295" s="46" t="n">
        <v>-6.1518</v>
      </c>
      <c r="S295" s="47">
        <f>IF($I295="Yes",$O295,"")</f>
        <v/>
      </c>
    </row>
    <row r="296">
      <c r="A296" s="48" t="inlineStr">
        <is>
          <t>SBUX</t>
        </is>
      </c>
      <c r="B296" s="49" t="inlineStr">
        <is>
          <t>Starbucks Corporation</t>
        </is>
      </c>
      <c r="C296" s="49" t="inlineStr">
        <is>
          <t>US</t>
        </is>
      </c>
      <c r="D296" s="49" t="inlineStr">
        <is>
          <t>S&amp;P 500</t>
        </is>
      </c>
      <c r="E296" s="49" t="inlineStr">
        <is>
          <t>Consumer Cyclical</t>
        </is>
      </c>
      <c r="F296" s="50" t="n">
        <v>123678597120</v>
      </c>
      <c r="G296" s="49" t="inlineStr">
        <is>
          <t>nightly refresh</t>
        </is>
      </c>
      <c r="H296" s="48" t="n">
        <v>102</v>
      </c>
      <c r="I296" s="49" t="inlineStr">
        <is>
          <t>No</t>
        </is>
      </c>
      <c r="J296" s="49" t="inlineStr">
        <is>
          <t>1992-06-26</t>
        </is>
      </c>
      <c r="K296" s="48" t="n">
        <v>6701</v>
      </c>
      <c r="L296" s="49" t="inlineStr">
        <is>
          <t>2000-01-03</t>
        </is>
      </c>
      <c r="M296" s="49" t="inlineStr">
        <is>
          <t>2026-08-25</t>
        </is>
      </c>
      <c r="N296" s="48" t="n">
        <v>353</v>
      </c>
      <c r="O296" s="51" t="n">
        <v>-18.8816</v>
      </c>
      <c r="P296" s="51" t="n">
        <v>-69.9623</v>
      </c>
      <c r="Q296" s="51" t="n">
        <v>49.8916</v>
      </c>
      <c r="R296" s="51" t="n">
        <v>-3.7485</v>
      </c>
      <c r="S296" s="52">
        <f>IF($I296="Yes",$O296,"")</f>
        <v/>
      </c>
    </row>
    <row r="297">
      <c r="A297" s="43" t="inlineStr">
        <is>
          <t>SW</t>
        </is>
      </c>
      <c r="B297" s="44" t="inlineStr">
        <is>
          <t>Smurfit Westrock Plc</t>
        </is>
      </c>
      <c r="C297" s="44" t="inlineStr">
        <is>
          <t>US</t>
        </is>
      </c>
      <c r="D297" s="44" t="inlineStr">
        <is>
          <t>S&amp;P 500</t>
        </is>
      </c>
      <c r="E297" s="44" t="inlineStr">
        <is>
          <t>Consumer Cyclical</t>
        </is>
      </c>
      <c r="F297" s="45" t="n">
        <v>25995356160</v>
      </c>
      <c r="G297" s="44" t="inlineStr">
        <is>
          <t>nightly refresh</t>
        </is>
      </c>
      <c r="H297" s="43" t="n">
        <v>352</v>
      </c>
      <c r="I297" s="44" t="inlineStr">
        <is>
          <t>No</t>
        </is>
      </c>
      <c r="J297" s="44" t="inlineStr">
        <is>
          <t>2008-06-17</t>
        </is>
      </c>
      <c r="K297" s="43" t="n">
        <v>4576</v>
      </c>
      <c r="L297" s="44" t="inlineStr">
        <is>
          <t>2008-06-17</t>
        </is>
      </c>
      <c r="M297" s="44" t="inlineStr">
        <is>
          <t>2026-08-25</t>
        </is>
      </c>
      <c r="N297" s="43" t="n">
        <v>92</v>
      </c>
      <c r="O297" s="46" t="n">
        <v>-22.2236</v>
      </c>
      <c r="P297" s="46" t="n">
        <v>-74.23309999999999</v>
      </c>
      <c r="Q297" s="46" t="n">
        <v>58.8663</v>
      </c>
      <c r="R297" s="46" t="n">
        <v>-4.2615</v>
      </c>
      <c r="S297" s="47">
        <f>IF($I297="Yes",$O297,"")</f>
        <v/>
      </c>
    </row>
    <row r="298">
      <c r="A298" s="48" t="inlineStr">
        <is>
          <t>TJX</t>
        </is>
      </c>
      <c r="B298" s="49" t="inlineStr">
        <is>
          <t>The TJX Companies, Inc.</t>
        </is>
      </c>
      <c r="C298" s="49" t="inlineStr">
        <is>
          <t>US</t>
        </is>
      </c>
      <c r="D298" s="49" t="inlineStr">
        <is>
          <t>S&amp;P 500</t>
        </is>
      </c>
      <c r="E298" s="49" t="inlineStr">
        <is>
          <t>Consumer Cyclical</t>
        </is>
      </c>
      <c r="F298" s="50" t="n">
        <v>151156703232</v>
      </c>
      <c r="G298" s="49" t="inlineStr">
        <is>
          <t>nightly refresh</t>
        </is>
      </c>
      <c r="H298" s="48" t="n">
        <v>87</v>
      </c>
      <c r="I298" s="49" t="inlineStr">
        <is>
          <t>No</t>
        </is>
      </c>
      <c r="J298" s="49" t="inlineStr">
        <is>
          <t>1987-06-26</t>
        </is>
      </c>
      <c r="K298" s="48" t="n">
        <v>6701</v>
      </c>
      <c r="L298" s="49" t="inlineStr">
        <is>
          <t>2000-01-03</t>
        </is>
      </c>
      <c r="M298" s="49" t="inlineStr">
        <is>
          <t>2026-08-25</t>
        </is>
      </c>
      <c r="N298" s="48" t="n">
        <v>348</v>
      </c>
      <c r="O298" s="51" t="n">
        <v>-13.2015</v>
      </c>
      <c r="P298" s="51" t="n">
        <v>-50.6976</v>
      </c>
      <c r="Q298" s="51" t="n">
        <v>42.2075</v>
      </c>
      <c r="R298" s="51" t="n">
        <v>-17.9529</v>
      </c>
      <c r="S298" s="52">
        <f>IF($I298="Yes",$O298,"")</f>
        <v/>
      </c>
    </row>
    <row r="299">
      <c r="A299" s="43" t="inlineStr">
        <is>
          <t>TPR</t>
        </is>
      </c>
      <c r="B299" s="44" t="inlineStr">
        <is>
          <t>Tapestry, Inc.</t>
        </is>
      </c>
      <c r="C299" s="44" t="inlineStr">
        <is>
          <t>US</t>
        </is>
      </c>
      <c r="D299" s="44" t="inlineStr">
        <is>
          <t>S&amp;P 500</t>
        </is>
      </c>
      <c r="E299" s="44" t="inlineStr">
        <is>
          <t>Consumer Cyclical</t>
        </is>
      </c>
      <c r="F299" s="45" t="n">
        <v>25970765824</v>
      </c>
      <c r="G299" s="44" t="inlineStr">
        <is>
          <t>nightly refresh</t>
        </is>
      </c>
      <c r="H299" s="43" t="n">
        <v>353</v>
      </c>
      <c r="I299" s="44" t="inlineStr">
        <is>
          <t>No</t>
        </is>
      </c>
      <c r="J299" s="44" t="inlineStr">
        <is>
          <t>2000-10-06</t>
        </is>
      </c>
      <c r="K299" s="43" t="n">
        <v>6508</v>
      </c>
      <c r="L299" s="44" t="inlineStr">
        <is>
          <t>2000-10-06</t>
        </is>
      </c>
      <c r="M299" s="44" t="inlineStr">
        <is>
          <t>2026-08-25</t>
        </is>
      </c>
      <c r="N299" s="43" t="n">
        <v>371</v>
      </c>
      <c r="O299" s="46" t="n">
        <v>-22.2319</v>
      </c>
      <c r="P299" s="46" t="n">
        <v>-69.0187</v>
      </c>
      <c r="Q299" s="46" t="n">
        <v>74.53700000000001</v>
      </c>
      <c r="R299" s="46" t="n">
        <v>-21.0437</v>
      </c>
      <c r="S299" s="47">
        <f>IF($I299="Yes",$O299,"")</f>
        <v/>
      </c>
    </row>
    <row r="300">
      <c r="A300" s="48" t="inlineStr">
        <is>
          <t>TSCO</t>
        </is>
      </c>
      <c r="B300" s="49" t="inlineStr">
        <is>
          <t>Tractor Supply Company</t>
        </is>
      </c>
      <c r="C300" s="49" t="inlineStr">
        <is>
          <t>US</t>
        </is>
      </c>
      <c r="D300" s="49" t="inlineStr">
        <is>
          <t>S&amp;P 500</t>
        </is>
      </c>
      <c r="E300" s="49" t="inlineStr">
        <is>
          <t>Consumer Cyclical</t>
        </is>
      </c>
      <c r="F300" s="50" t="n">
        <v>18241613824</v>
      </c>
      <c r="G300" s="49" t="inlineStr">
        <is>
          <t>nightly refresh</t>
        </is>
      </c>
      <c r="H300" s="48" t="n">
        <v>415</v>
      </c>
      <c r="I300" s="49" t="inlineStr">
        <is>
          <t>No</t>
        </is>
      </c>
      <c r="J300" s="49" t="inlineStr">
        <is>
          <t>1994-02-17</t>
        </is>
      </c>
      <c r="K300" s="48" t="n">
        <v>6701</v>
      </c>
      <c r="L300" s="49" t="inlineStr">
        <is>
          <t>2000-01-03</t>
        </is>
      </c>
      <c r="M300" s="49" t="inlineStr">
        <is>
          <t>2026-08-25</t>
        </is>
      </c>
      <c r="N300" s="48" t="n">
        <v>367</v>
      </c>
      <c r="O300" s="51" t="n">
        <v>-18.6691</v>
      </c>
      <c r="P300" s="51" t="n">
        <v>-67.7556</v>
      </c>
      <c r="Q300" s="51" t="n">
        <v>69.74769999999999</v>
      </c>
      <c r="R300" s="51" t="n">
        <v>-42.7839</v>
      </c>
      <c r="S300" s="52">
        <f>IF($I300="Yes",$O300,"")</f>
        <v/>
      </c>
    </row>
    <row r="301">
      <c r="A301" s="43" t="inlineStr">
        <is>
          <t>TSLA</t>
        </is>
      </c>
      <c r="B301" s="44" t="inlineStr">
        <is>
          <t>Tesla, Inc.</t>
        </is>
      </c>
      <c r="C301" s="44" t="inlineStr">
        <is>
          <t>US</t>
        </is>
      </c>
      <c r="D301" s="44" t="inlineStr">
        <is>
          <t>S&amp;P 500</t>
        </is>
      </c>
      <c r="E301" s="44" t="inlineStr">
        <is>
          <t>Consumer Cyclical</t>
        </is>
      </c>
      <c r="F301" s="45" t="n">
        <v>1365832499200</v>
      </c>
      <c r="G301" s="44" t="inlineStr">
        <is>
          <t>nightly refresh</t>
        </is>
      </c>
      <c r="H301" s="43" t="n">
        <v>9</v>
      </c>
      <c r="I301" s="44" t="inlineStr">
        <is>
          <t>Yes</t>
        </is>
      </c>
      <c r="J301" s="44" t="inlineStr">
        <is>
          <t>2010-06-29</t>
        </is>
      </c>
      <c r="K301" s="43" t="n">
        <v>4064</v>
      </c>
      <c r="L301" s="44" t="inlineStr">
        <is>
          <t>2010-06-29</t>
        </is>
      </c>
      <c r="M301" s="44" t="inlineStr">
        <is>
          <t>2026-08-25</t>
        </is>
      </c>
      <c r="N301" s="43" t="n">
        <v>257</v>
      </c>
      <c r="O301" s="46" t="n">
        <v>-27.2686</v>
      </c>
      <c r="P301" s="46" t="n">
        <v>-73.154</v>
      </c>
      <c r="Q301" s="46" t="n">
        <v>143.7553</v>
      </c>
      <c r="R301" s="46" t="n">
        <v>-29.7857</v>
      </c>
      <c r="S301" s="47">
        <f>IF($I301="Yes",$O301,"")</f>
        <v/>
      </c>
    </row>
    <row r="302">
      <c r="A302" s="48" t="inlineStr">
        <is>
          <t>ULTA</t>
        </is>
      </c>
      <c r="B302" s="49" t="inlineStr">
        <is>
          <t>Ulta Beauty, Inc.</t>
        </is>
      </c>
      <c r="C302" s="49" t="inlineStr">
        <is>
          <t>US</t>
        </is>
      </c>
      <c r="D302" s="49" t="inlineStr">
        <is>
          <t>S&amp;P 500</t>
        </is>
      </c>
      <c r="E302" s="49" t="inlineStr">
        <is>
          <t>Consumer Cyclical</t>
        </is>
      </c>
      <c r="F302" s="50" t="n">
        <v>23351363584</v>
      </c>
      <c r="G302" s="49" t="inlineStr">
        <is>
          <t>nightly refresh</t>
        </is>
      </c>
      <c r="H302" s="48" t="n">
        <v>379</v>
      </c>
      <c r="I302" s="49" t="inlineStr">
        <is>
          <t>No</t>
        </is>
      </c>
      <c r="J302" s="49" t="inlineStr">
        <is>
          <t>2007-10-25</t>
        </is>
      </c>
      <c r="K302" s="48" t="n">
        <v>4737</v>
      </c>
      <c r="L302" s="49" t="inlineStr">
        <is>
          <t>2007-10-25</t>
        </is>
      </c>
      <c r="M302" s="49" t="inlineStr">
        <is>
          <t>2026-08-25</t>
        </is>
      </c>
      <c r="N302" s="48" t="n">
        <v>262</v>
      </c>
      <c r="O302" s="51" t="n">
        <v>-23.4019</v>
      </c>
      <c r="P302" s="51" t="n">
        <v>-80.0347</v>
      </c>
      <c r="Q302" s="51" t="n">
        <v>77.38249999999999</v>
      </c>
      <c r="R302" s="51" t="n">
        <v>-24.8612</v>
      </c>
      <c r="S302" s="52">
        <f>IF($I302="Yes",$O302,"")</f>
        <v/>
      </c>
    </row>
    <row r="303">
      <c r="A303" s="43" t="inlineStr">
        <is>
          <t>WSM</t>
        </is>
      </c>
      <c r="B303" s="44" t="inlineStr">
        <is>
          <t>Williams-Sonoma, Inc.</t>
        </is>
      </c>
      <c r="C303" s="44" t="inlineStr">
        <is>
          <t>US</t>
        </is>
      </c>
      <c r="D303" s="44" t="inlineStr">
        <is>
          <t>S&amp;P 500</t>
        </is>
      </c>
      <c r="E303" s="44" t="inlineStr">
        <is>
          <t>Consumer Cyclical</t>
        </is>
      </c>
      <c r="F303" s="45" t="n">
        <v>27961655296</v>
      </c>
      <c r="G303" s="44" t="inlineStr">
        <is>
          <t>nightly refresh</t>
        </is>
      </c>
      <c r="H303" s="43" t="n">
        <v>332</v>
      </c>
      <c r="I303" s="44" t="inlineStr">
        <is>
          <t>No</t>
        </is>
      </c>
      <c r="J303" s="44" t="inlineStr">
        <is>
          <t>1983-07-07</t>
        </is>
      </c>
      <c r="K303" s="43" t="n">
        <v>6701</v>
      </c>
      <c r="L303" s="44" t="inlineStr">
        <is>
          <t>2000-01-03</t>
        </is>
      </c>
      <c r="M303" s="44" t="inlineStr">
        <is>
          <t>2026-08-25</t>
        </is>
      </c>
      <c r="N303" s="43" t="n">
        <v>396</v>
      </c>
      <c r="O303" s="46" t="n">
        <v>-23.4631</v>
      </c>
      <c r="P303" s="46" t="n">
        <v>-84.2358</v>
      </c>
      <c r="Q303" s="46" t="n">
        <v>74.75020000000001</v>
      </c>
      <c r="R303" s="46" t="n">
        <v>-7.9054</v>
      </c>
      <c r="S303" s="47">
        <f>IF($I303="Yes",$O303,"")</f>
        <v/>
      </c>
    </row>
    <row r="304">
      <c r="A304" s="48" t="inlineStr">
        <is>
          <t>WYNN</t>
        </is>
      </c>
      <c r="B304" s="49" t="inlineStr">
        <is>
          <t>Wynn Resorts, Limited</t>
        </is>
      </c>
      <c r="C304" s="49" t="inlineStr">
        <is>
          <t>US</t>
        </is>
      </c>
      <c r="D304" s="49" t="inlineStr">
        <is>
          <t>S&amp;P 500</t>
        </is>
      </c>
      <c r="E304" s="49" t="inlineStr">
        <is>
          <t>Consumer Cyclical</t>
        </is>
      </c>
      <c r="F304" s="50" t="n">
        <v>10005972992</v>
      </c>
      <c r="G304" s="49" t="inlineStr">
        <is>
          <t>nightly refresh</t>
        </is>
      </c>
      <c r="H304" s="48" t="n">
        <v>491</v>
      </c>
      <c r="I304" s="49" t="inlineStr">
        <is>
          <t>No</t>
        </is>
      </c>
      <c r="J304" s="49" t="inlineStr">
        <is>
          <t>2002-10-25</t>
        </is>
      </c>
      <c r="K304" s="48" t="n">
        <v>5995</v>
      </c>
      <c r="L304" s="49" t="inlineStr">
        <is>
          <t>2002-10-25</t>
        </is>
      </c>
      <c r="M304" s="49" t="inlineStr">
        <is>
          <t>2026-08-25</t>
        </is>
      </c>
      <c r="N304" s="48" t="n">
        <v>331</v>
      </c>
      <c r="O304" s="51" t="n">
        <v>-27.5601</v>
      </c>
      <c r="P304" s="51" t="n">
        <v>-87.1388</v>
      </c>
      <c r="Q304" s="51" t="n">
        <v>83.3103</v>
      </c>
      <c r="R304" s="51" t="n">
        <v>-26.3544</v>
      </c>
      <c r="S304" s="52">
        <f>IF($I304="Yes",$O304,"")</f>
        <v/>
      </c>
    </row>
    <row r="305">
      <c r="A305" s="43" t="inlineStr">
        <is>
          <t>YUM</t>
        </is>
      </c>
      <c r="B305" s="44" t="inlineStr">
        <is>
          <t>Yum! Brands, Inc.</t>
        </is>
      </c>
      <c r="C305" s="44" t="inlineStr">
        <is>
          <t>US</t>
        </is>
      </c>
      <c r="D305" s="44" t="inlineStr">
        <is>
          <t>S&amp;P 500</t>
        </is>
      </c>
      <c r="E305" s="44" t="inlineStr">
        <is>
          <t>Consumer Cyclical</t>
        </is>
      </c>
      <c r="F305" s="45" t="n">
        <v>42138656768</v>
      </c>
      <c r="G305" s="44" t="inlineStr">
        <is>
          <t>nightly refresh</t>
        </is>
      </c>
      <c r="H305" s="43" t="n">
        <v>264</v>
      </c>
      <c r="I305" s="44" t="inlineStr">
        <is>
          <t>No</t>
        </is>
      </c>
      <c r="J305" s="44" t="inlineStr">
        <is>
          <t>1997-09-17</t>
        </is>
      </c>
      <c r="K305" s="43" t="n">
        <v>6701</v>
      </c>
      <c r="L305" s="44" t="inlineStr">
        <is>
          <t>2000-01-03</t>
        </is>
      </c>
      <c r="M305" s="44" t="inlineStr">
        <is>
          <t>2026-08-25</t>
        </is>
      </c>
      <c r="N305" s="43" t="n">
        <v>326</v>
      </c>
      <c r="O305" s="46" t="n">
        <v>-13.8877</v>
      </c>
      <c r="P305" s="46" t="n">
        <v>-52.3225</v>
      </c>
      <c r="Q305" s="46" t="n">
        <v>36.9116</v>
      </c>
      <c r="R305" s="46" t="n">
        <v>-8.152100000000001</v>
      </c>
      <c r="S305" s="47">
        <f>IF($I305="Yes",$O305,"")</f>
        <v/>
      </c>
    </row>
    <row r="306">
      <c r="A306" s="48" t="inlineStr">
        <is>
          <t>ADM</t>
        </is>
      </c>
      <c r="B306" s="49" t="inlineStr">
        <is>
          <t>Archer-Daniels-Midland Company</t>
        </is>
      </c>
      <c r="C306" s="49" t="inlineStr">
        <is>
          <t>US</t>
        </is>
      </c>
      <c r="D306" s="49" t="inlineStr">
        <is>
          <t>S&amp;P 500</t>
        </is>
      </c>
      <c r="E306" s="49" t="inlineStr">
        <is>
          <t>Consumer Defensive</t>
        </is>
      </c>
      <c r="F306" s="50" t="n">
        <v>38600142848</v>
      </c>
      <c r="G306" s="49" t="inlineStr">
        <is>
          <t>nightly refresh</t>
        </is>
      </c>
      <c r="H306" s="48" t="n">
        <v>279</v>
      </c>
      <c r="I306" s="49" t="inlineStr">
        <is>
          <t>No</t>
        </is>
      </c>
      <c r="J306" s="49" t="inlineStr">
        <is>
          <t>1980-03-17</t>
        </is>
      </c>
      <c r="K306" s="48" t="n">
        <v>6701</v>
      </c>
      <c r="L306" s="49" t="inlineStr">
        <is>
          <t>2000-01-03</t>
        </is>
      </c>
      <c r="M306" s="49" t="inlineStr">
        <is>
          <t>2026-08-25</t>
        </is>
      </c>
      <c r="N306" s="48" t="n">
        <v>372</v>
      </c>
      <c r="O306" s="51" t="n">
        <v>-18.2966</v>
      </c>
      <c r="P306" s="51" t="n">
        <v>-68.50920000000001</v>
      </c>
      <c r="Q306" s="51" t="n">
        <v>43.0974</v>
      </c>
      <c r="R306" s="51" t="n">
        <v>-9.9453</v>
      </c>
      <c r="S306" s="52">
        <f>IF($I306="Yes",$O306,"")</f>
        <v/>
      </c>
    </row>
    <row r="307">
      <c r="A307" s="43" t="inlineStr">
        <is>
          <t>BF-B</t>
        </is>
      </c>
      <c r="B307" s="44" t="inlineStr">
        <is>
          <t>Brown-Forman Corporation</t>
        </is>
      </c>
      <c r="C307" s="44" t="inlineStr">
        <is>
          <t>US</t>
        </is>
      </c>
      <c r="D307" s="44" t="inlineStr">
        <is>
          <t>S&amp;P 500</t>
        </is>
      </c>
      <c r="E307" s="44" t="inlineStr">
        <is>
          <t>Consumer Defensive</t>
        </is>
      </c>
      <c r="F307" s="45" t="n">
        <v>12880319488</v>
      </c>
      <c r="G307" s="44" t="inlineStr">
        <is>
          <t>nightly refresh</t>
        </is>
      </c>
      <c r="H307" s="43" t="n">
        <v>466</v>
      </c>
      <c r="I307" s="44" t="inlineStr">
        <is>
          <t>No</t>
        </is>
      </c>
      <c r="J307" s="44" t="inlineStr">
        <is>
          <t>1980-03-17</t>
        </is>
      </c>
      <c r="K307" s="43" t="n">
        <v>6701</v>
      </c>
      <c r="L307" s="44" t="inlineStr">
        <is>
          <t>2000-01-03</t>
        </is>
      </c>
      <c r="M307" s="44" t="inlineStr">
        <is>
          <t>2026-08-25</t>
        </is>
      </c>
      <c r="N307" s="43" t="n">
        <v>331</v>
      </c>
      <c r="O307" s="46" t="n">
        <v>-15.9548</v>
      </c>
      <c r="P307" s="46" t="n">
        <v>-48.7824</v>
      </c>
      <c r="Q307" s="46" t="n">
        <v>30.3831</v>
      </c>
      <c r="R307" s="46" t="n">
        <v>-9.4208</v>
      </c>
      <c r="S307" s="47">
        <f>IF($I307="Yes",$O307,"")</f>
        <v/>
      </c>
    </row>
    <row r="308">
      <c r="A308" s="48" t="inlineStr">
        <is>
          <t>BG</t>
        </is>
      </c>
      <c r="B308" s="49" t="inlineStr">
        <is>
          <t>Bunge Global SA</t>
        </is>
      </c>
      <c r="C308" s="49" t="inlineStr">
        <is>
          <t>US</t>
        </is>
      </c>
      <c r="D308" s="49" t="inlineStr">
        <is>
          <t>S&amp;P 500</t>
        </is>
      </c>
      <c r="E308" s="49" t="inlineStr">
        <is>
          <t>Consumer Defensive</t>
        </is>
      </c>
      <c r="F308" s="50" t="n">
        <v>21757491200</v>
      </c>
      <c r="G308" s="49" t="inlineStr">
        <is>
          <t>nightly refresh</t>
        </is>
      </c>
      <c r="H308" s="48" t="n">
        <v>392</v>
      </c>
      <c r="I308" s="49" t="inlineStr">
        <is>
          <t>No</t>
        </is>
      </c>
      <c r="J308" s="49" t="inlineStr">
        <is>
          <t>2001-08-02</t>
        </is>
      </c>
      <c r="K308" s="48" t="n">
        <v>6302</v>
      </c>
      <c r="L308" s="49" t="inlineStr">
        <is>
          <t>2001-08-02</t>
        </is>
      </c>
      <c r="M308" s="49" t="inlineStr">
        <is>
          <t>2026-08-25</t>
        </is>
      </c>
      <c r="N308" s="48" t="n">
        <v>349</v>
      </c>
      <c r="O308" s="51" t="n">
        <v>-19.2065</v>
      </c>
      <c r="P308" s="51" t="n">
        <v>-77.6742</v>
      </c>
      <c r="Q308" s="51" t="n">
        <v>46.7808</v>
      </c>
      <c r="R308" s="51" t="n">
        <v>-17.1721</v>
      </c>
      <c r="S308" s="52">
        <f>IF($I308="Yes",$O308,"")</f>
        <v/>
      </c>
    </row>
    <row r="309">
      <c r="A309" s="43" t="inlineStr">
        <is>
          <t>CHD</t>
        </is>
      </c>
      <c r="B309" s="44" t="inlineStr">
        <is>
          <t>Church &amp; Dwight Co., Inc.</t>
        </is>
      </c>
      <c r="C309" s="44" t="inlineStr">
        <is>
          <t>US</t>
        </is>
      </c>
      <c r="D309" s="44" t="inlineStr">
        <is>
          <t>S&amp;P 500</t>
        </is>
      </c>
      <c r="E309" s="44" t="inlineStr">
        <is>
          <t>Consumer Defensive</t>
        </is>
      </c>
      <c r="F309" s="45" t="n">
        <v>24398792704</v>
      </c>
      <c r="G309" s="44" t="inlineStr">
        <is>
          <t>nightly refresh</t>
        </is>
      </c>
      <c r="H309" s="43" t="n">
        <v>370</v>
      </c>
      <c r="I309" s="44" t="inlineStr">
        <is>
          <t>No</t>
        </is>
      </c>
      <c r="J309" s="44" t="inlineStr">
        <is>
          <t>1980-03-17</t>
        </is>
      </c>
      <c r="K309" s="43" t="n">
        <v>6701</v>
      </c>
      <c r="L309" s="44" t="inlineStr">
        <is>
          <t>2000-01-03</t>
        </is>
      </c>
      <c r="M309" s="44" t="inlineStr">
        <is>
          <t>2026-08-25</t>
        </is>
      </c>
      <c r="N309" s="43" t="n">
        <v>302</v>
      </c>
      <c r="O309" s="46" t="n">
        <v>-13.8207</v>
      </c>
      <c r="P309" s="46" t="n">
        <v>-46.428</v>
      </c>
      <c r="Q309" s="46" t="n">
        <v>33.4775</v>
      </c>
      <c r="R309" s="46" t="n">
        <v>-2.966</v>
      </c>
      <c r="S309" s="47">
        <f>IF($I309="Yes",$O309,"")</f>
        <v/>
      </c>
    </row>
    <row r="310">
      <c r="A310" s="48" t="inlineStr">
        <is>
          <t>CL</t>
        </is>
      </c>
      <c r="B310" s="49" t="inlineStr">
        <is>
          <t>Colgate-Palmolive Company</t>
        </is>
      </c>
      <c r="C310" s="49" t="inlineStr">
        <is>
          <t>US</t>
        </is>
      </c>
      <c r="D310" s="49" t="inlineStr">
        <is>
          <t>S&amp;P 500</t>
        </is>
      </c>
      <c r="E310" s="49" t="inlineStr">
        <is>
          <t>Consumer Defensive</t>
        </is>
      </c>
      <c r="F310" s="50" t="n">
        <v>73387728896</v>
      </c>
      <c r="G310" s="49" t="inlineStr">
        <is>
          <t>nightly refresh</t>
        </is>
      </c>
      <c r="H310" s="48" t="n">
        <v>179</v>
      </c>
      <c r="I310" s="49" t="inlineStr">
        <is>
          <t>No</t>
        </is>
      </c>
      <c r="J310" s="49" t="inlineStr">
        <is>
          <t>1973-05-02</t>
        </is>
      </c>
      <c r="K310" s="48" t="n">
        <v>6701</v>
      </c>
      <c r="L310" s="49" t="inlineStr">
        <is>
          <t>2000-01-03</t>
        </is>
      </c>
      <c r="M310" s="49" t="inlineStr">
        <is>
          <t>2026-08-25</t>
        </is>
      </c>
      <c r="N310" s="48" t="n">
        <v>302</v>
      </c>
      <c r="O310" s="51" t="n">
        <v>-12.3741</v>
      </c>
      <c r="P310" s="51" t="n">
        <v>-35.7896</v>
      </c>
      <c r="Q310" s="51" t="n">
        <v>24.8836</v>
      </c>
      <c r="R310" s="51" t="n">
        <v>-7.4825</v>
      </c>
      <c r="S310" s="52">
        <f>IF($I310="Yes",$O310,"")</f>
        <v/>
      </c>
    </row>
    <row r="311">
      <c r="A311" s="43" t="inlineStr">
        <is>
          <t>CLX</t>
        </is>
      </c>
      <c r="B311" s="44" t="inlineStr">
        <is>
          <t>The Clorox Company</t>
        </is>
      </c>
      <c r="C311" s="44" t="inlineStr">
        <is>
          <t>US</t>
        </is>
      </c>
      <c r="D311" s="44" t="inlineStr">
        <is>
          <t>S&amp;P 500</t>
        </is>
      </c>
      <c r="E311" s="44" t="inlineStr">
        <is>
          <t>Consumer Defensive</t>
        </is>
      </c>
      <c r="F311" s="45" t="n">
        <v>12604639232</v>
      </c>
      <c r="G311" s="44" t="inlineStr">
        <is>
          <t>nightly refresh</t>
        </is>
      </c>
      <c r="H311" s="43" t="n">
        <v>468</v>
      </c>
      <c r="I311" s="44" t="inlineStr">
        <is>
          <t>No</t>
        </is>
      </c>
      <c r="J311" s="44" t="inlineStr">
        <is>
          <t>1973-02-21</t>
        </is>
      </c>
      <c r="K311" s="43" t="n">
        <v>6701</v>
      </c>
      <c r="L311" s="44" t="inlineStr">
        <is>
          <t>2000-01-03</t>
        </is>
      </c>
      <c r="M311" s="44" t="inlineStr">
        <is>
          <t>2026-08-25</t>
        </is>
      </c>
      <c r="N311" s="43" t="n">
        <v>327</v>
      </c>
      <c r="O311" s="46" t="n">
        <v>-15.8099</v>
      </c>
      <c r="P311" s="46" t="n">
        <v>-45.7821</v>
      </c>
      <c r="Q311" s="46" t="n">
        <v>26.327</v>
      </c>
      <c r="R311" s="46" t="n">
        <v>-17.5697</v>
      </c>
      <c r="S311" s="47">
        <f>IF($I311="Yes",$O311,"")</f>
        <v/>
      </c>
    </row>
    <row r="312">
      <c r="A312" s="48" t="inlineStr">
        <is>
          <t>COST</t>
        </is>
      </c>
      <c r="B312" s="49" t="inlineStr">
        <is>
          <t>Costco Wholesale Corporation</t>
        </is>
      </c>
      <c r="C312" s="49" t="inlineStr">
        <is>
          <t>US</t>
        </is>
      </c>
      <c r="D312" s="49" t="inlineStr">
        <is>
          <t>S&amp;P 500</t>
        </is>
      </c>
      <c r="E312" s="49" t="inlineStr">
        <is>
          <t>Consumer Defensive</t>
        </is>
      </c>
      <c r="F312" s="50" t="n">
        <v>424018968576</v>
      </c>
      <c r="G312" s="49" t="inlineStr">
        <is>
          <t>nightly refresh</t>
        </is>
      </c>
      <c r="H312" s="48" t="n">
        <v>26</v>
      </c>
      <c r="I312" s="49" t="inlineStr">
        <is>
          <t>Yes</t>
        </is>
      </c>
      <c r="J312" s="49" t="inlineStr">
        <is>
          <t>1986-07-09</t>
        </is>
      </c>
      <c r="K312" s="48" t="n">
        <v>6701</v>
      </c>
      <c r="L312" s="49" t="inlineStr">
        <is>
          <t>2000-01-03</t>
        </is>
      </c>
      <c r="M312" s="49" t="inlineStr">
        <is>
          <t>2026-08-25</t>
        </is>
      </c>
      <c r="N312" s="48" t="n">
        <v>319</v>
      </c>
      <c r="O312" s="51" t="n">
        <v>-14.9833</v>
      </c>
      <c r="P312" s="51" t="n">
        <v>-50.4132</v>
      </c>
      <c r="Q312" s="51" t="n">
        <v>35.48</v>
      </c>
      <c r="R312" s="51" t="n">
        <v>-12.4478</v>
      </c>
      <c r="S312" s="52">
        <f>IF($I312="Yes",$O312,"")</f>
        <v/>
      </c>
    </row>
    <row r="313">
      <c r="A313" s="43" t="inlineStr">
        <is>
          <t>DG</t>
        </is>
      </c>
      <c r="B313" s="44" t="inlineStr">
        <is>
          <t>Dollar General Corporation</t>
        </is>
      </c>
      <c r="C313" s="44" t="inlineStr">
        <is>
          <t>US</t>
        </is>
      </c>
      <c r="D313" s="44" t="inlineStr">
        <is>
          <t>S&amp;P 500</t>
        </is>
      </c>
      <c r="E313" s="44" t="inlineStr">
        <is>
          <t>Consumer Defensive</t>
        </is>
      </c>
      <c r="F313" s="45" t="n">
        <v>27083626496</v>
      </c>
      <c r="G313" s="44" t="inlineStr">
        <is>
          <t>nightly refresh</t>
        </is>
      </c>
      <c r="H313" s="43" t="n">
        <v>338</v>
      </c>
      <c r="I313" s="44" t="inlineStr">
        <is>
          <t>No</t>
        </is>
      </c>
      <c r="J313" s="44" t="inlineStr">
        <is>
          <t>2009-11-13</t>
        </is>
      </c>
      <c r="K313" s="43" t="n">
        <v>4219</v>
      </c>
      <c r="L313" s="44" t="inlineStr">
        <is>
          <t>2009-11-13</t>
        </is>
      </c>
      <c r="M313" s="44" t="inlineStr">
        <is>
          <t>2026-08-25</t>
        </is>
      </c>
      <c r="N313" s="43" t="n">
        <v>208</v>
      </c>
      <c r="O313" s="46" t="n">
        <v>-17.6787</v>
      </c>
      <c r="P313" s="46" t="n">
        <v>-60.5218</v>
      </c>
      <c r="Q313" s="46" t="n">
        <v>39.6836</v>
      </c>
      <c r="R313" s="46" t="n">
        <v>-22.1631</v>
      </c>
      <c r="S313" s="47">
        <f>IF($I313="Yes",$O313,"")</f>
        <v/>
      </c>
    </row>
    <row r="314">
      <c r="A314" s="48" t="inlineStr">
        <is>
          <t>DLTR</t>
        </is>
      </c>
      <c r="B314" s="49" t="inlineStr">
        <is>
          <t>Dollar Tree, Inc.</t>
        </is>
      </c>
      <c r="C314" s="49" t="inlineStr">
        <is>
          <t>US</t>
        </is>
      </c>
      <c r="D314" s="49" t="inlineStr">
        <is>
          <t>S&amp;P 500</t>
        </is>
      </c>
      <c r="E314" s="49" t="inlineStr">
        <is>
          <t>Consumer Defensive</t>
        </is>
      </c>
      <c r="F314" s="50" t="n">
        <v>25401636864</v>
      </c>
      <c r="G314" s="49" t="inlineStr">
        <is>
          <t>nightly refresh</t>
        </is>
      </c>
      <c r="H314" s="48" t="n">
        <v>359</v>
      </c>
      <c r="I314" s="49" t="inlineStr">
        <is>
          <t>No</t>
        </is>
      </c>
      <c r="J314" s="49" t="inlineStr">
        <is>
          <t>1995-03-07</t>
        </is>
      </c>
      <c r="K314" s="48" t="n">
        <v>6701</v>
      </c>
      <c r="L314" s="49" t="inlineStr">
        <is>
          <t>2000-01-03</t>
        </is>
      </c>
      <c r="M314" s="49" t="inlineStr">
        <is>
          <t>2026-08-25</t>
        </is>
      </c>
      <c r="N314" s="48" t="n">
        <v>343</v>
      </c>
      <c r="O314" s="51" t="n">
        <v>-22.7608</v>
      </c>
      <c r="P314" s="51" t="n">
        <v>-67.22799999999999</v>
      </c>
      <c r="Q314" s="51" t="n">
        <v>52.2184</v>
      </c>
      <c r="R314" s="51" t="n">
        <v>-5.5618</v>
      </c>
      <c r="S314" s="52">
        <f>IF($I314="Yes",$O314,"")</f>
        <v/>
      </c>
    </row>
    <row r="315">
      <c r="A315" s="43" t="inlineStr">
        <is>
          <t>EL</t>
        </is>
      </c>
      <c r="B315" s="44" t="inlineStr">
        <is>
          <t>The Estée Lauder Companies Inc.</t>
        </is>
      </c>
      <c r="C315" s="44" t="inlineStr">
        <is>
          <t>US</t>
        </is>
      </c>
      <c r="D315" s="44" t="inlineStr">
        <is>
          <t>S&amp;P 500</t>
        </is>
      </c>
      <c r="E315" s="44" t="inlineStr">
        <is>
          <t>Consumer Defensive</t>
        </is>
      </c>
      <c r="F315" s="45" t="n">
        <v>38010556416</v>
      </c>
      <c r="G315" s="44" t="inlineStr">
        <is>
          <t>nightly refresh</t>
        </is>
      </c>
      <c r="H315" s="43" t="n">
        <v>281</v>
      </c>
      <c r="I315" s="44" t="inlineStr">
        <is>
          <t>No</t>
        </is>
      </c>
      <c r="J315" s="44" t="inlineStr">
        <is>
          <t>1995-11-17</t>
        </is>
      </c>
      <c r="K315" s="43" t="n">
        <v>6701</v>
      </c>
      <c r="L315" s="44" t="inlineStr">
        <is>
          <t>2000-01-03</t>
        </is>
      </c>
      <c r="M315" s="44" t="inlineStr">
        <is>
          <t>2026-08-25</t>
        </is>
      </c>
      <c r="N315" s="43" t="n">
        <v>332</v>
      </c>
      <c r="O315" s="46" t="n">
        <v>-21.0195</v>
      </c>
      <c r="P315" s="46" t="n">
        <v>-65.85299999999999</v>
      </c>
      <c r="Q315" s="46" t="n">
        <v>43.4109</v>
      </c>
      <c r="R315" s="46" t="n">
        <v>-13.1982</v>
      </c>
      <c r="S315" s="47">
        <f>IF($I315="Yes",$O315,"")</f>
        <v/>
      </c>
    </row>
    <row r="316">
      <c r="A316" s="48" t="inlineStr">
        <is>
          <t>GIS</t>
        </is>
      </c>
      <c r="B316" s="49" t="inlineStr">
        <is>
          <t>General Mills, Inc.</t>
        </is>
      </c>
      <c r="C316" s="49" t="inlineStr">
        <is>
          <t>US</t>
        </is>
      </c>
      <c r="D316" s="49" t="inlineStr">
        <is>
          <t>S&amp;P 500</t>
        </is>
      </c>
      <c r="E316" s="49" t="inlineStr">
        <is>
          <t>Consumer Defensive</t>
        </is>
      </c>
      <c r="F316" s="50" t="n">
        <v>21427949568</v>
      </c>
      <c r="G316" s="49" t="inlineStr">
        <is>
          <t>nightly refresh</t>
        </is>
      </c>
      <c r="H316" s="48" t="n">
        <v>395</v>
      </c>
      <c r="I316" s="49" t="inlineStr">
        <is>
          <t>No</t>
        </is>
      </c>
      <c r="J316" s="49" t="inlineStr">
        <is>
          <t>1980-03-17</t>
        </is>
      </c>
      <c r="K316" s="48" t="n">
        <v>6701</v>
      </c>
      <c r="L316" s="49" t="inlineStr">
        <is>
          <t>2000-01-03</t>
        </is>
      </c>
      <c r="M316" s="49" t="inlineStr">
        <is>
          <t>2026-08-25</t>
        </is>
      </c>
      <c r="N316" s="48" t="n">
        <v>304</v>
      </c>
      <c r="O316" s="51" t="n">
        <v>-13.6533</v>
      </c>
      <c r="P316" s="51" t="n">
        <v>-39.5901</v>
      </c>
      <c r="Q316" s="51" t="n">
        <v>25.4584</v>
      </c>
      <c r="R316" s="51" t="n">
        <v>-19.0804</v>
      </c>
      <c r="S316" s="52">
        <f>IF($I316="Yes",$O316,"")</f>
        <v/>
      </c>
    </row>
    <row r="317">
      <c r="A317" s="43" t="inlineStr">
        <is>
          <t>HRL</t>
        </is>
      </c>
      <c r="B317" s="44" t="inlineStr">
        <is>
          <t>Hormel Foods Corporation</t>
        </is>
      </c>
      <c r="C317" s="44" t="inlineStr">
        <is>
          <t>US</t>
        </is>
      </c>
      <c r="D317" s="44" t="inlineStr">
        <is>
          <t>S&amp;P 500</t>
        </is>
      </c>
      <c r="E317" s="44" t="inlineStr">
        <is>
          <t>Consumer Defensive</t>
        </is>
      </c>
      <c r="F317" s="45" t="n">
        <v>11710048302.81018</v>
      </c>
      <c r="G317" s="44" t="inlineStr">
        <is>
          <t>re-fetched 28 Aug 2026</t>
        </is>
      </c>
      <c r="H317" s="43" t="n">
        <v>477</v>
      </c>
      <c r="I317" s="44" t="inlineStr">
        <is>
          <t>No</t>
        </is>
      </c>
      <c r="J317" s="44" t="inlineStr">
        <is>
          <t>1980-03-17</t>
        </is>
      </c>
      <c r="K317" s="43" t="n">
        <v>6701</v>
      </c>
      <c r="L317" s="44" t="inlineStr">
        <is>
          <t>2000-01-03</t>
        </is>
      </c>
      <c r="M317" s="44" t="inlineStr">
        <is>
          <t>2026-08-25</t>
        </is>
      </c>
      <c r="N317" s="43" t="n">
        <v>307</v>
      </c>
      <c r="O317" s="46" t="n">
        <v>-14.0805</v>
      </c>
      <c r="P317" s="46" t="n">
        <v>-40.6199</v>
      </c>
      <c r="Q317" s="46" t="n">
        <v>27.8399</v>
      </c>
      <c r="R317" s="46" t="n">
        <v>-15.2459</v>
      </c>
      <c r="S317" s="47">
        <f>IF($I317="Yes",$O317,"")</f>
        <v/>
      </c>
    </row>
    <row r="318">
      <c r="A318" s="48" t="inlineStr">
        <is>
          <t>HSY</t>
        </is>
      </c>
      <c r="B318" s="49" t="inlineStr">
        <is>
          <t>The Hershey Company</t>
        </is>
      </c>
      <c r="C318" s="49" t="inlineStr">
        <is>
          <t>US</t>
        </is>
      </c>
      <c r="D318" s="49" t="inlineStr">
        <is>
          <t>S&amp;P 500</t>
        </is>
      </c>
      <c r="E318" s="49" t="inlineStr">
        <is>
          <t>Consumer Defensive</t>
        </is>
      </c>
      <c r="F318" s="50" t="n">
        <v>37241573376</v>
      </c>
      <c r="G318" s="49" t="inlineStr">
        <is>
          <t>nightly refresh</t>
        </is>
      </c>
      <c r="H318" s="48" t="n">
        <v>285</v>
      </c>
      <c r="I318" s="49" t="inlineStr">
        <is>
          <t>No</t>
        </is>
      </c>
      <c r="J318" s="49" t="inlineStr">
        <is>
          <t>1980-03-17</t>
        </is>
      </c>
      <c r="K318" s="48" t="n">
        <v>6701</v>
      </c>
      <c r="L318" s="49" t="inlineStr">
        <is>
          <t>2000-01-03</t>
        </is>
      </c>
      <c r="M318" s="49" t="inlineStr">
        <is>
          <t>2026-08-25</t>
        </is>
      </c>
      <c r="N318" s="48" t="n">
        <v>293</v>
      </c>
      <c r="O318" s="51" t="n">
        <v>-14.7022</v>
      </c>
      <c r="P318" s="51" t="n">
        <v>-38.8523</v>
      </c>
      <c r="Q318" s="51" t="n">
        <v>29.5297</v>
      </c>
      <c r="R318" s="51" t="n">
        <v>-21.2381</v>
      </c>
      <c r="S318" s="52">
        <f>IF($I318="Yes",$O318,"")</f>
        <v/>
      </c>
    </row>
    <row r="319">
      <c r="A319" s="43" t="inlineStr">
        <is>
          <t>KDP</t>
        </is>
      </c>
      <c r="B319" s="44" t="inlineStr">
        <is>
          <t>Keurig Dr Pepper Inc.</t>
        </is>
      </c>
      <c r="C319" s="44" t="inlineStr">
        <is>
          <t>US</t>
        </is>
      </c>
      <c r="D319" s="44" t="inlineStr">
        <is>
          <t>S&amp;P 500</t>
        </is>
      </c>
      <c r="E319" s="44" t="inlineStr">
        <is>
          <t>Consumer Defensive</t>
        </is>
      </c>
      <c r="F319" s="45" t="n">
        <v>43825401856</v>
      </c>
      <c r="G319" s="44" t="inlineStr">
        <is>
          <t>nightly refresh</t>
        </is>
      </c>
      <c r="H319" s="43" t="n">
        <v>257</v>
      </c>
      <c r="I319" s="44" t="inlineStr">
        <is>
          <t>No</t>
        </is>
      </c>
      <c r="J319" s="44" t="inlineStr">
        <is>
          <t>2008-05-07</t>
        </is>
      </c>
      <c r="K319" s="43" t="n">
        <v>4604</v>
      </c>
      <c r="L319" s="44" t="inlineStr">
        <is>
          <t>2008-05-07</t>
        </is>
      </c>
      <c r="M319" s="44" t="inlineStr">
        <is>
          <t>2026-08-25</t>
        </is>
      </c>
      <c r="N319" s="43" t="n">
        <v>217</v>
      </c>
      <c r="O319" s="46" t="n">
        <v>-13.229</v>
      </c>
      <c r="P319" s="46" t="n">
        <v>-55.6797</v>
      </c>
      <c r="Q319" s="46" t="n">
        <v>37.3414</v>
      </c>
      <c r="R319" s="46" t="n">
        <v>-5.8545</v>
      </c>
      <c r="S319" s="47">
        <f>IF($I319="Yes",$O319,"")</f>
        <v/>
      </c>
    </row>
    <row r="320">
      <c r="A320" s="48" t="inlineStr">
        <is>
          <t>KHC</t>
        </is>
      </c>
      <c r="B320" s="49" t="inlineStr">
        <is>
          <t>The Kraft Heinz Company</t>
        </is>
      </c>
      <c r="C320" s="49" t="inlineStr">
        <is>
          <t>US</t>
        </is>
      </c>
      <c r="D320" s="49" t="inlineStr">
        <is>
          <t>S&amp;P 500</t>
        </is>
      </c>
      <c r="E320" s="49" t="inlineStr">
        <is>
          <t>Consumer Defensive</t>
        </is>
      </c>
      <c r="F320" s="50" t="n">
        <v>29396572160</v>
      </c>
      <c r="G320" s="49" t="inlineStr">
        <is>
          <t>nightly refresh</t>
        </is>
      </c>
      <c r="H320" s="48" t="n">
        <v>321</v>
      </c>
      <c r="I320" s="49" t="inlineStr">
        <is>
          <t>No</t>
        </is>
      </c>
      <c r="J320" s="49" t="inlineStr">
        <is>
          <t>2015-07-06</t>
        </is>
      </c>
      <c r="K320" s="48" t="n">
        <v>2802</v>
      </c>
      <c r="L320" s="49" t="inlineStr">
        <is>
          <t>2015-07-06</t>
        </is>
      </c>
      <c r="M320" s="49" t="inlineStr">
        <is>
          <t>2026-08-25</t>
        </is>
      </c>
      <c r="N320" s="48" t="n">
        <v>150</v>
      </c>
      <c r="O320" s="51" t="n">
        <v>-20.9508</v>
      </c>
      <c r="P320" s="51" t="n">
        <v>-57.7887</v>
      </c>
      <c r="Q320" s="51" t="n">
        <v>28.2194</v>
      </c>
      <c r="R320" s="51" t="n">
        <v>-9.8612</v>
      </c>
      <c r="S320" s="52">
        <f>IF($I320="Yes",$O320,"")</f>
        <v/>
      </c>
    </row>
    <row r="321">
      <c r="A321" s="43" t="inlineStr">
        <is>
          <t>KMB</t>
        </is>
      </c>
      <c r="B321" s="44" t="inlineStr">
        <is>
          <t>Kimberly-Clark Corporation</t>
        </is>
      </c>
      <c r="C321" s="44" t="inlineStr">
        <is>
          <t>US</t>
        </is>
      </c>
      <c r="D321" s="44" t="inlineStr">
        <is>
          <t>S&amp;P 500</t>
        </is>
      </c>
      <c r="E321" s="44" t="inlineStr">
        <is>
          <t>Consumer Defensive</t>
        </is>
      </c>
      <c r="F321" s="45" t="n">
        <v>36696768512</v>
      </c>
      <c r="G321" s="44" t="inlineStr">
        <is>
          <t>nightly refresh</t>
        </is>
      </c>
      <c r="H321" s="43" t="n">
        <v>288</v>
      </c>
      <c r="I321" s="44" t="inlineStr">
        <is>
          <t>No</t>
        </is>
      </c>
      <c r="J321" s="44" t="inlineStr">
        <is>
          <t>1980-03-17</t>
        </is>
      </c>
      <c r="K321" s="43" t="n">
        <v>6701</v>
      </c>
      <c r="L321" s="44" t="inlineStr">
        <is>
          <t>2000-01-03</t>
        </is>
      </c>
      <c r="M321" s="44" t="inlineStr">
        <is>
          <t>2026-08-25</t>
        </is>
      </c>
      <c r="N321" s="43" t="n">
        <v>295</v>
      </c>
      <c r="O321" s="46" t="n">
        <v>-14.0005</v>
      </c>
      <c r="P321" s="46" t="n">
        <v>-33.8854</v>
      </c>
      <c r="Q321" s="46" t="n">
        <v>23.5591</v>
      </c>
      <c r="R321" s="46" t="n">
        <v>-13.0539</v>
      </c>
      <c r="S321" s="47">
        <f>IF($I321="Yes",$O321,"")</f>
        <v/>
      </c>
    </row>
    <row r="322">
      <c r="A322" s="48" t="inlineStr">
        <is>
          <t>KO</t>
        </is>
      </c>
      <c r="B322" s="49" t="inlineStr">
        <is>
          <t>The Coca-Cola Company</t>
        </is>
      </c>
      <c r="C322" s="49" t="inlineStr">
        <is>
          <t>US</t>
        </is>
      </c>
      <c r="D322" s="49" t="inlineStr">
        <is>
          <t>S&amp;P 500</t>
        </is>
      </c>
      <c r="E322" s="49" t="inlineStr">
        <is>
          <t>Consumer Defensive</t>
        </is>
      </c>
      <c r="F322" s="50" t="n">
        <v>387573612544</v>
      </c>
      <c r="G322" s="49" t="inlineStr">
        <is>
          <t>nightly refresh</t>
        </is>
      </c>
      <c r="H322" s="48" t="n">
        <v>29</v>
      </c>
      <c r="I322" s="49" t="inlineStr">
        <is>
          <t>Yes</t>
        </is>
      </c>
      <c r="J322" s="49" t="inlineStr">
        <is>
          <t>1962-01-02</t>
        </is>
      </c>
      <c r="K322" s="48" t="n">
        <v>6701</v>
      </c>
      <c r="L322" s="49" t="inlineStr">
        <is>
          <t>2000-01-03</t>
        </is>
      </c>
      <c r="M322" s="49" t="inlineStr">
        <is>
          <t>2026-08-25</t>
        </is>
      </c>
      <c r="N322" s="48" t="n">
        <v>289</v>
      </c>
      <c r="O322" s="51" t="n">
        <v>-14.3535</v>
      </c>
      <c r="P322" s="51" t="n">
        <v>-37.485</v>
      </c>
      <c r="Q322" s="51" t="n">
        <v>23.7953</v>
      </c>
      <c r="R322" s="51" t="n">
        <v>-0.919</v>
      </c>
      <c r="S322" s="52">
        <f>IF($I322="Yes",$O322,"")</f>
        <v/>
      </c>
    </row>
    <row r="323">
      <c r="A323" s="43" t="inlineStr">
        <is>
          <t>KR</t>
        </is>
      </c>
      <c r="B323" s="44" t="inlineStr">
        <is>
          <t>The Kroger Co.</t>
        </is>
      </c>
      <c r="C323" s="44" t="inlineStr">
        <is>
          <t>US</t>
        </is>
      </c>
      <c r="D323" s="44" t="inlineStr">
        <is>
          <t>S&amp;P 500</t>
        </is>
      </c>
      <c r="E323" s="44" t="inlineStr">
        <is>
          <t>Consumer Defensive</t>
        </is>
      </c>
      <c r="F323" s="45" t="n">
        <v>34878009951.22511</v>
      </c>
      <c r="G323" s="44" t="inlineStr">
        <is>
          <t>re-fetched 28 Aug 2026</t>
        </is>
      </c>
      <c r="H323" s="43" t="n">
        <v>295</v>
      </c>
      <c r="I323" s="44" t="inlineStr">
        <is>
          <t>No</t>
        </is>
      </c>
      <c r="J323" s="44" t="inlineStr">
        <is>
          <t>1962-01-02</t>
        </is>
      </c>
      <c r="K323" s="43" t="n">
        <v>6701</v>
      </c>
      <c r="L323" s="44" t="inlineStr">
        <is>
          <t>2000-01-03</t>
        </is>
      </c>
      <c r="M323" s="44" t="inlineStr">
        <is>
          <t>2026-08-25</t>
        </is>
      </c>
      <c r="N323" s="43" t="n">
        <v>358</v>
      </c>
      <c r="O323" s="46" t="n">
        <v>-17.5285</v>
      </c>
      <c r="P323" s="46" t="n">
        <v>-56.0139</v>
      </c>
      <c r="Q323" s="46" t="n">
        <v>34.0749</v>
      </c>
      <c r="R323" s="46" t="n">
        <v>-23.2725</v>
      </c>
      <c r="S323" s="47">
        <f>IF($I323="Yes",$O323,"")</f>
        <v/>
      </c>
    </row>
    <row r="324">
      <c r="A324" s="48" t="inlineStr">
        <is>
          <t>KVUE</t>
        </is>
      </c>
      <c r="B324" s="49" t="inlineStr">
        <is>
          <t>Kenvue Inc.</t>
        </is>
      </c>
      <c r="C324" s="49" t="inlineStr">
        <is>
          <t>US</t>
        </is>
      </c>
      <c r="D324" s="49" t="inlineStr">
        <is>
          <t>S&amp;P 500</t>
        </is>
      </c>
      <c r="E324" s="49" t="inlineStr">
        <is>
          <t>Consumer Defensive</t>
        </is>
      </c>
      <c r="F324" s="50" t="n">
        <v>36917264384</v>
      </c>
      <c r="G324" s="49" t="inlineStr">
        <is>
          <t>nightly refresh</t>
        </is>
      </c>
      <c r="H324" s="48" t="n">
        <v>286</v>
      </c>
      <c r="I324" s="49" t="inlineStr">
        <is>
          <t>No</t>
        </is>
      </c>
      <c r="J324" s="49" t="inlineStr">
        <is>
          <t>2023-05-04</t>
        </is>
      </c>
      <c r="K324" s="48" t="n">
        <v>830</v>
      </c>
      <c r="L324" s="49" t="inlineStr">
        <is>
          <t>2023-05-04</t>
        </is>
      </c>
      <c r="M324" s="49" t="inlineStr">
        <is>
          <t>2026-08-25</t>
        </is>
      </c>
      <c r="N324" s="48" t="n">
        <v>48</v>
      </c>
      <c r="O324" s="51" t="n">
        <v>-22.8439</v>
      </c>
      <c r="P324" s="51" t="n">
        <v>-42.909</v>
      </c>
      <c r="Q324" s="51" t="n">
        <v>23.7658</v>
      </c>
      <c r="R324" s="51" t="n">
        <v>-7.3655</v>
      </c>
      <c r="S324" s="52">
        <f>IF($I324="Yes",$O324,"")</f>
        <v/>
      </c>
    </row>
    <row r="325">
      <c r="A325" s="43" t="inlineStr">
        <is>
          <t>MDLZ</t>
        </is>
      </c>
      <c r="B325" s="44" t="inlineStr">
        <is>
          <t>Mondelez International, Inc.</t>
        </is>
      </c>
      <c r="C325" s="44" t="inlineStr">
        <is>
          <t>US</t>
        </is>
      </c>
      <c r="D325" s="44" t="inlineStr">
        <is>
          <t>S&amp;P 500</t>
        </is>
      </c>
      <c r="E325" s="44" t="inlineStr">
        <is>
          <t>Consumer Defensive</t>
        </is>
      </c>
      <c r="F325" s="45" t="n">
        <v>80420167680</v>
      </c>
      <c r="G325" s="44" t="inlineStr">
        <is>
          <t>nightly refresh</t>
        </is>
      </c>
      <c r="H325" s="43" t="n">
        <v>162</v>
      </c>
      <c r="I325" s="44" t="inlineStr">
        <is>
          <t>No</t>
        </is>
      </c>
      <c r="J325" s="44" t="inlineStr">
        <is>
          <t>2001-06-13</t>
        </is>
      </c>
      <c r="K325" s="43" t="n">
        <v>6337</v>
      </c>
      <c r="L325" s="44" t="inlineStr">
        <is>
          <t>2001-06-13</t>
        </is>
      </c>
      <c r="M325" s="44" t="inlineStr">
        <is>
          <t>2026-08-25</t>
        </is>
      </c>
      <c r="N325" s="43" t="n">
        <v>291</v>
      </c>
      <c r="O325" s="46" t="n">
        <v>-13.0296</v>
      </c>
      <c r="P325" s="46" t="n">
        <v>-38.7854</v>
      </c>
      <c r="Q325" s="46" t="n">
        <v>24.9383</v>
      </c>
      <c r="R325" s="46" t="n">
        <v>-5.4914</v>
      </c>
      <c r="S325" s="47">
        <f>IF($I325="Yes",$O325,"")</f>
        <v/>
      </c>
    </row>
    <row r="326">
      <c r="A326" s="48" t="inlineStr">
        <is>
          <t>MKC</t>
        </is>
      </c>
      <c r="B326" s="49" t="inlineStr">
        <is>
          <t>McCormick &amp; Company, Incorporated</t>
        </is>
      </c>
      <c r="C326" s="49" t="inlineStr">
        <is>
          <t>US</t>
        </is>
      </c>
      <c r="D326" s="49" t="inlineStr">
        <is>
          <t>S&amp;P 500</t>
        </is>
      </c>
      <c r="E326" s="49" t="inlineStr">
        <is>
          <t>Consumer Defensive</t>
        </is>
      </c>
      <c r="F326" s="50" t="n">
        <v>14813720576</v>
      </c>
      <c r="G326" s="49" t="inlineStr">
        <is>
          <t>nightly refresh</t>
        </is>
      </c>
      <c r="H326" s="48" t="n">
        <v>442</v>
      </c>
      <c r="I326" s="49" t="inlineStr">
        <is>
          <t>No</t>
        </is>
      </c>
      <c r="J326" s="49" t="inlineStr">
        <is>
          <t>1973-02-21</t>
        </is>
      </c>
      <c r="K326" s="48" t="n">
        <v>6701</v>
      </c>
      <c r="L326" s="49" t="inlineStr">
        <is>
          <t>2000-01-03</t>
        </is>
      </c>
      <c r="M326" s="49" t="inlineStr">
        <is>
          <t>2026-08-25</t>
        </is>
      </c>
      <c r="N326" s="48" t="n">
        <v>283</v>
      </c>
      <c r="O326" s="51" t="n">
        <v>-14.1106</v>
      </c>
      <c r="P326" s="51" t="n">
        <v>-40.3244</v>
      </c>
      <c r="Q326" s="51" t="n">
        <v>28.8974</v>
      </c>
      <c r="R326" s="51" t="n">
        <v>-24.0911</v>
      </c>
      <c r="S326" s="52">
        <f>IF($I326="Yes",$O326,"")</f>
        <v/>
      </c>
    </row>
    <row r="327">
      <c r="A327" s="43" t="inlineStr">
        <is>
          <t>MNST</t>
        </is>
      </c>
      <c r="B327" s="44" t="inlineStr">
        <is>
          <t>Monster Beverage Corporation</t>
        </is>
      </c>
      <c r="C327" s="44" t="inlineStr">
        <is>
          <t>US</t>
        </is>
      </c>
      <c r="D327" s="44" t="inlineStr">
        <is>
          <t>S&amp;P 500</t>
        </is>
      </c>
      <c r="E327" s="44" t="inlineStr">
        <is>
          <t>Consumer Defensive</t>
        </is>
      </c>
      <c r="F327" s="45" t="n">
        <v>93662265344</v>
      </c>
      <c r="G327" s="44" t="inlineStr">
        <is>
          <t>nightly refresh</t>
        </is>
      </c>
      <c r="H327" s="43" t="n">
        <v>136</v>
      </c>
      <c r="I327" s="44" t="inlineStr">
        <is>
          <t>No</t>
        </is>
      </c>
      <c r="J327" s="44" t="inlineStr">
        <is>
          <t>1985-12-06</t>
        </is>
      </c>
      <c r="K327" s="43" t="n">
        <v>6701</v>
      </c>
      <c r="L327" s="44" t="inlineStr">
        <is>
          <t>2000-01-03</t>
        </is>
      </c>
      <c r="M327" s="44" t="inlineStr">
        <is>
          <t>2026-08-25</t>
        </is>
      </c>
      <c r="N327" s="43" t="n">
        <v>359</v>
      </c>
      <c r="O327" s="46" t="n">
        <v>-19.4364</v>
      </c>
      <c r="P327" s="46" t="n">
        <v>-69.2848</v>
      </c>
      <c r="Q327" s="46" t="n">
        <v>89.4688</v>
      </c>
      <c r="R327" s="46" t="n">
        <v>-51.4351</v>
      </c>
      <c r="S327" s="47">
        <f>IF($I327="Yes",$O327,"")</f>
        <v/>
      </c>
    </row>
    <row r="328">
      <c r="A328" s="48" t="inlineStr">
        <is>
          <t>MO</t>
        </is>
      </c>
      <c r="B328" s="49" t="inlineStr">
        <is>
          <t>Altria Group, Inc.</t>
        </is>
      </c>
      <c r="C328" s="49" t="inlineStr">
        <is>
          <t>US</t>
        </is>
      </c>
      <c r="D328" s="49" t="inlineStr">
        <is>
          <t>S&amp;P 500</t>
        </is>
      </c>
      <c r="E328" s="49" t="inlineStr">
        <is>
          <t>Consumer Defensive</t>
        </is>
      </c>
      <c r="F328" s="50" t="n">
        <v>115412697088</v>
      </c>
      <c r="G328" s="49" t="inlineStr">
        <is>
          <t>nightly refresh</t>
        </is>
      </c>
      <c r="H328" s="48" t="n">
        <v>107</v>
      </c>
      <c r="I328" s="49" t="inlineStr">
        <is>
          <t>No</t>
        </is>
      </c>
      <c r="J328" s="49" t="inlineStr">
        <is>
          <t>1962-01-02</t>
        </is>
      </c>
      <c r="K328" s="48" t="n">
        <v>6701</v>
      </c>
      <c r="L328" s="49" t="inlineStr">
        <is>
          <t>2000-01-03</t>
        </is>
      </c>
      <c r="M328" s="49" t="inlineStr">
        <is>
          <t>2026-08-25</t>
        </is>
      </c>
      <c r="N328" s="48" t="n">
        <v>272</v>
      </c>
      <c r="O328" s="51" t="n">
        <v>-15.0035</v>
      </c>
      <c r="P328" s="51" t="n">
        <v>-48.395</v>
      </c>
      <c r="Q328" s="51" t="n">
        <v>37.9491</v>
      </c>
      <c r="R328" s="51" t="n">
        <v>-11.6662</v>
      </c>
      <c r="S328" s="52">
        <f>IF($I328="Yes",$O328,"")</f>
        <v/>
      </c>
    </row>
    <row r="329">
      <c r="A329" s="43" t="inlineStr">
        <is>
          <t>PEP</t>
        </is>
      </c>
      <c r="B329" s="44" t="inlineStr">
        <is>
          <t>PepsiCo, Inc.</t>
        </is>
      </c>
      <c r="C329" s="44" t="inlineStr">
        <is>
          <t>US</t>
        </is>
      </c>
      <c r="D329" s="44" t="inlineStr">
        <is>
          <t>S&amp;P 500</t>
        </is>
      </c>
      <c r="E329" s="44" t="inlineStr">
        <is>
          <t>Consumer Defensive</t>
        </is>
      </c>
      <c r="F329" s="45" t="n">
        <v>194231549952</v>
      </c>
      <c r="G329" s="44" t="inlineStr">
        <is>
          <t>nightly refresh</t>
        </is>
      </c>
      <c r="H329" s="43" t="n">
        <v>61</v>
      </c>
      <c r="I329" s="44" t="inlineStr">
        <is>
          <t>No</t>
        </is>
      </c>
      <c r="J329" s="44" t="inlineStr">
        <is>
          <t>1972-06-01</t>
        </is>
      </c>
      <c r="K329" s="43" t="n">
        <v>6701</v>
      </c>
      <c r="L329" s="44" t="inlineStr">
        <is>
          <t>2000-01-03</t>
        </is>
      </c>
      <c r="M329" s="44" t="inlineStr">
        <is>
          <t>2026-08-25</t>
        </is>
      </c>
      <c r="N329" s="43" t="n">
        <v>258</v>
      </c>
      <c r="O329" s="46" t="n">
        <v>-13.0279</v>
      </c>
      <c r="P329" s="46" t="n">
        <v>-38.1013</v>
      </c>
      <c r="Q329" s="46" t="n">
        <v>24.317</v>
      </c>
      <c r="R329" s="46" t="n">
        <v>-15.4121</v>
      </c>
      <c r="S329" s="47">
        <f>IF($I329="Yes",$O329,"")</f>
        <v/>
      </c>
    </row>
    <row r="330">
      <c r="A330" s="48" t="inlineStr">
        <is>
          <t>PG</t>
        </is>
      </c>
      <c r="B330" s="49" t="inlineStr">
        <is>
          <t>The Procter &amp; Gamble Company</t>
        </is>
      </c>
      <c r="C330" s="49" t="inlineStr">
        <is>
          <t>US</t>
        </is>
      </c>
      <c r="D330" s="49" t="inlineStr">
        <is>
          <t>S&amp;P 500</t>
        </is>
      </c>
      <c r="E330" s="49" t="inlineStr">
        <is>
          <t>Consumer Defensive</t>
        </is>
      </c>
      <c r="F330" s="50" t="n">
        <v>337042800640</v>
      </c>
      <c r="G330" s="49" t="inlineStr">
        <is>
          <t>nightly refresh</t>
        </is>
      </c>
      <c r="H330" s="48" t="n">
        <v>36</v>
      </c>
      <c r="I330" s="49" t="inlineStr">
        <is>
          <t>Yes</t>
        </is>
      </c>
      <c r="J330" s="49" t="inlineStr">
        <is>
          <t>1962-01-02</t>
        </is>
      </c>
      <c r="K330" s="48" t="n">
        <v>6701</v>
      </c>
      <c r="L330" s="49" t="inlineStr">
        <is>
          <t>2000-01-03</t>
        </is>
      </c>
      <c r="M330" s="49" t="inlineStr">
        <is>
          <t>2026-08-25</t>
        </is>
      </c>
      <c r="N330" s="48" t="n">
        <v>262</v>
      </c>
      <c r="O330" s="51" t="n">
        <v>-14.0104</v>
      </c>
      <c r="P330" s="51" t="n">
        <v>-54.4688</v>
      </c>
      <c r="Q330" s="51" t="n">
        <v>26.4315</v>
      </c>
      <c r="R330" s="51" t="n">
        <v>-12.4096</v>
      </c>
      <c r="S330" s="52">
        <f>IF($I330="Yes",$O330,"")</f>
        <v/>
      </c>
    </row>
    <row r="331">
      <c r="A331" s="43" t="inlineStr">
        <is>
          <t>PM</t>
        </is>
      </c>
      <c r="B331" s="44" t="inlineStr">
        <is>
          <t>Philip Morris International Inc.</t>
        </is>
      </c>
      <c r="C331" s="44" t="inlineStr">
        <is>
          <t>US</t>
        </is>
      </c>
      <c r="D331" s="44" t="inlineStr">
        <is>
          <t>S&amp;P 500</t>
        </is>
      </c>
      <c r="E331" s="44" t="inlineStr">
        <is>
          <t>Consumer Defensive</t>
        </is>
      </c>
      <c r="F331" s="45" t="n">
        <v>302526857216</v>
      </c>
      <c r="G331" s="44" t="inlineStr">
        <is>
          <t>nightly refresh</t>
        </is>
      </c>
      <c r="H331" s="43" t="n">
        <v>40</v>
      </c>
      <c r="I331" s="44" t="inlineStr">
        <is>
          <t>Yes</t>
        </is>
      </c>
      <c r="J331" s="44" t="inlineStr">
        <is>
          <t>2008-03-17</t>
        </is>
      </c>
      <c r="K331" s="43" t="n">
        <v>4640</v>
      </c>
      <c r="L331" s="44" t="inlineStr">
        <is>
          <t>2008-03-17</t>
        </is>
      </c>
      <c r="M331" s="44" t="inlineStr">
        <is>
          <t>2026-08-25</t>
        </is>
      </c>
      <c r="N331" s="43" t="n">
        <v>211</v>
      </c>
      <c r="O331" s="46" t="n">
        <v>-13.2875</v>
      </c>
      <c r="P331" s="46" t="n">
        <v>-41.1898</v>
      </c>
      <c r="Q331" s="46" t="n">
        <v>33.3167</v>
      </c>
      <c r="R331" s="46" t="n">
        <v>-6.6615</v>
      </c>
      <c r="S331" s="47">
        <f>IF($I331="Yes",$O331,"")</f>
        <v/>
      </c>
    </row>
    <row r="332">
      <c r="A332" s="48" t="inlineStr">
        <is>
          <t>SJM</t>
        </is>
      </c>
      <c r="B332" s="49" t="inlineStr">
        <is>
          <t>The J. M. Smucker Company</t>
        </is>
      </c>
      <c r="C332" s="49" t="inlineStr">
        <is>
          <t>US</t>
        </is>
      </c>
      <c r="D332" s="49" t="inlineStr">
        <is>
          <t>S&amp;P 500</t>
        </is>
      </c>
      <c r="E332" s="49" t="inlineStr">
        <is>
          <t>Consumer Defensive</t>
        </is>
      </c>
      <c r="F332" s="50" t="n">
        <v>13990681600</v>
      </c>
      <c r="G332" s="49" t="inlineStr">
        <is>
          <t>nightly refresh</t>
        </is>
      </c>
      <c r="H332" s="48" t="n">
        <v>453</v>
      </c>
      <c r="I332" s="49" t="inlineStr">
        <is>
          <t>No</t>
        </is>
      </c>
      <c r="J332" s="49" t="inlineStr">
        <is>
          <t>1994-10-31</t>
        </is>
      </c>
      <c r="K332" s="48" t="n">
        <v>6701</v>
      </c>
      <c r="L332" s="49" t="inlineStr">
        <is>
          <t>2000-01-03</t>
        </is>
      </c>
      <c r="M332" s="49" t="inlineStr">
        <is>
          <t>2026-08-25</t>
        </is>
      </c>
      <c r="N332" s="48" t="n">
        <v>322</v>
      </c>
      <c r="O332" s="51" t="n">
        <v>-14.1157</v>
      </c>
      <c r="P332" s="51" t="n">
        <v>-35.1439</v>
      </c>
      <c r="Q332" s="51" t="n">
        <v>30.1326</v>
      </c>
      <c r="R332" s="51" t="n">
        <v>-0.8025</v>
      </c>
      <c r="S332" s="52">
        <f>IF($I332="Yes",$O332,"")</f>
        <v/>
      </c>
    </row>
    <row r="333">
      <c r="A333" s="43" t="inlineStr">
        <is>
          <t>STZ</t>
        </is>
      </c>
      <c r="B333" s="44" t="inlineStr">
        <is>
          <t>Constellation Brands, Inc.</t>
        </is>
      </c>
      <c r="C333" s="44" t="inlineStr">
        <is>
          <t>US</t>
        </is>
      </c>
      <c r="D333" s="44" t="inlineStr">
        <is>
          <t>S&amp;P 500</t>
        </is>
      </c>
      <c r="E333" s="44" t="inlineStr">
        <is>
          <t>Consumer Defensive</t>
        </is>
      </c>
      <c r="F333" s="45" t="n">
        <v>22964643840</v>
      </c>
      <c r="G333" s="44" t="inlineStr">
        <is>
          <t>nightly refresh</t>
        </is>
      </c>
      <c r="H333" s="43" t="n">
        <v>381</v>
      </c>
      <c r="I333" s="44" t="inlineStr">
        <is>
          <t>No</t>
        </is>
      </c>
      <c r="J333" s="44" t="inlineStr">
        <is>
          <t>1992-03-17</t>
        </is>
      </c>
      <c r="K333" s="43" t="n">
        <v>6701</v>
      </c>
      <c r="L333" s="44" t="inlineStr">
        <is>
          <t>2000-01-03</t>
        </is>
      </c>
      <c r="M333" s="44" t="inlineStr">
        <is>
          <t>2026-08-25</t>
        </is>
      </c>
      <c r="N333" s="43" t="n">
        <v>344</v>
      </c>
      <c r="O333" s="46" t="n">
        <v>-17.299</v>
      </c>
      <c r="P333" s="46" t="n">
        <v>-56.7481</v>
      </c>
      <c r="Q333" s="46" t="n">
        <v>44.7185</v>
      </c>
      <c r="R333" s="46" t="n">
        <v>-19.3886</v>
      </c>
      <c r="S333" s="47">
        <f>IF($I333="Yes",$O333,"")</f>
        <v/>
      </c>
    </row>
    <row r="334">
      <c r="A334" s="48" t="inlineStr">
        <is>
          <t>SYY</t>
        </is>
      </c>
      <c r="B334" s="49" t="inlineStr">
        <is>
          <t>Sysco Corporation</t>
        </is>
      </c>
      <c r="C334" s="49" t="inlineStr">
        <is>
          <t>US</t>
        </is>
      </c>
      <c r="D334" s="49" t="inlineStr">
        <is>
          <t>S&amp;P 500</t>
        </is>
      </c>
      <c r="E334" s="49" t="inlineStr">
        <is>
          <t>Consumer Defensive</t>
        </is>
      </c>
      <c r="F334" s="50" t="n">
        <v>39894323200</v>
      </c>
      <c r="G334" s="49" t="inlineStr">
        <is>
          <t>nightly refresh</t>
        </is>
      </c>
      <c r="H334" s="48" t="n">
        <v>277</v>
      </c>
      <c r="I334" s="49" t="inlineStr">
        <is>
          <t>No</t>
        </is>
      </c>
      <c r="J334" s="49" t="inlineStr">
        <is>
          <t>1973-05-08</t>
        </is>
      </c>
      <c r="K334" s="48" t="n">
        <v>6701</v>
      </c>
      <c r="L334" s="49" t="inlineStr">
        <is>
          <t>2000-01-03</t>
        </is>
      </c>
      <c r="M334" s="49" t="inlineStr">
        <is>
          <t>2026-08-25</t>
        </is>
      </c>
      <c r="N334" s="48" t="n">
        <v>325</v>
      </c>
      <c r="O334" s="51" t="n">
        <v>-14.6665</v>
      </c>
      <c r="P334" s="51" t="n">
        <v>-63.4738</v>
      </c>
      <c r="Q334" s="51" t="n">
        <v>34.1955</v>
      </c>
      <c r="R334" s="51" t="n">
        <v>-8.449400000000001</v>
      </c>
      <c r="S334" s="52">
        <f>IF($I334="Yes",$O334,"")</f>
        <v/>
      </c>
    </row>
    <row r="335">
      <c r="A335" s="43" t="inlineStr">
        <is>
          <t>TAP</t>
        </is>
      </c>
      <c r="B335" s="44" t="inlineStr">
        <is>
          <t>Molson Coors Beverage Company</t>
        </is>
      </c>
      <c r="C335" s="44" t="inlineStr">
        <is>
          <t>US</t>
        </is>
      </c>
      <c r="D335" s="44" t="inlineStr">
        <is>
          <t>S&amp;P 500</t>
        </is>
      </c>
      <c r="E335" s="44" t="inlineStr">
        <is>
          <t>Consumer Defensive</t>
        </is>
      </c>
      <c r="F335" s="45" t="n">
        <v>7847846400</v>
      </c>
      <c r="G335" s="44" t="inlineStr">
        <is>
          <t>nightly refresh</t>
        </is>
      </c>
      <c r="H335" s="43" t="n">
        <v>496</v>
      </c>
      <c r="I335" s="44" t="inlineStr">
        <is>
          <t>No</t>
        </is>
      </c>
      <c r="J335" s="44" t="inlineStr">
        <is>
          <t>1975-06-12</t>
        </is>
      </c>
      <c r="K335" s="43" t="n">
        <v>6701</v>
      </c>
      <c r="L335" s="44" t="inlineStr">
        <is>
          <t>2000-01-03</t>
        </is>
      </c>
      <c r="M335" s="44" t="inlineStr">
        <is>
          <t>2026-08-25</t>
        </is>
      </c>
      <c r="N335" s="43" t="n">
        <v>383</v>
      </c>
      <c r="O335" s="46" t="n">
        <v>-18.6228</v>
      </c>
      <c r="P335" s="46" t="n">
        <v>-46.6813</v>
      </c>
      <c r="Q335" s="46" t="n">
        <v>31.93</v>
      </c>
      <c r="R335" s="46" t="n">
        <v>-21.6514</v>
      </c>
      <c r="S335" s="47">
        <f>IF($I335="Yes",$O335,"")</f>
        <v/>
      </c>
    </row>
    <row r="336">
      <c r="A336" s="48" t="inlineStr">
        <is>
          <t>TGT</t>
        </is>
      </c>
      <c r="B336" s="49" t="inlineStr">
        <is>
          <t>Target Corporation</t>
        </is>
      </c>
      <c r="C336" s="49" t="inlineStr">
        <is>
          <t>US</t>
        </is>
      </c>
      <c r="D336" s="49" t="inlineStr">
        <is>
          <t>S&amp;P 500</t>
        </is>
      </c>
      <c r="E336" s="49" t="inlineStr">
        <is>
          <t>Consumer Defensive</t>
        </is>
      </c>
      <c r="F336" s="50" t="n">
        <v>74521968640</v>
      </c>
      <c r="G336" s="49" t="inlineStr">
        <is>
          <t>nightly refresh</t>
        </is>
      </c>
      <c r="H336" s="48" t="n">
        <v>177</v>
      </c>
      <c r="I336" s="49" t="inlineStr">
        <is>
          <t>No</t>
        </is>
      </c>
      <c r="J336" s="49" t="inlineStr">
        <is>
          <t>1973-02-21</t>
        </is>
      </c>
      <c r="K336" s="48" t="n">
        <v>6701</v>
      </c>
      <c r="L336" s="49" t="inlineStr">
        <is>
          <t>2000-01-03</t>
        </is>
      </c>
      <c r="M336" s="49" t="inlineStr">
        <is>
          <t>2026-08-25</t>
        </is>
      </c>
      <c r="N336" s="48" t="n">
        <v>357</v>
      </c>
      <c r="O336" s="51" t="n">
        <v>-20.0625</v>
      </c>
      <c r="P336" s="51" t="n">
        <v>-56.9484</v>
      </c>
      <c r="Q336" s="51" t="n">
        <v>39.7636</v>
      </c>
      <c r="R336" s="51" t="n">
        <v>-4.2635</v>
      </c>
      <c r="S336" s="52">
        <f>IF($I336="Yes",$O336,"")</f>
        <v/>
      </c>
    </row>
    <row r="337">
      <c r="A337" s="43" t="inlineStr">
        <is>
          <t>TSN</t>
        </is>
      </c>
      <c r="B337" s="44" t="inlineStr">
        <is>
          <t>Tyson Foods, Inc.</t>
        </is>
      </c>
      <c r="C337" s="44" t="inlineStr">
        <is>
          <t>US</t>
        </is>
      </c>
      <c r="D337" s="44" t="inlineStr">
        <is>
          <t>S&amp;P 500</t>
        </is>
      </c>
      <c r="E337" s="44" t="inlineStr">
        <is>
          <t>Consumer Defensive</t>
        </is>
      </c>
      <c r="F337" s="45" t="n">
        <v>19894374400</v>
      </c>
      <c r="G337" s="44" t="inlineStr">
        <is>
          <t>nightly refresh</t>
        </is>
      </c>
      <c r="H337" s="43" t="n">
        <v>403</v>
      </c>
      <c r="I337" s="44" t="inlineStr">
        <is>
          <t>No</t>
        </is>
      </c>
      <c r="J337" s="44" t="inlineStr">
        <is>
          <t>1980-03-17</t>
        </is>
      </c>
      <c r="K337" s="43" t="n">
        <v>6701</v>
      </c>
      <c r="L337" s="44" t="inlineStr">
        <is>
          <t>2000-01-03</t>
        </is>
      </c>
      <c r="M337" s="44" t="inlineStr">
        <is>
          <t>2026-08-25</t>
        </is>
      </c>
      <c r="N337" s="43" t="n">
        <v>350</v>
      </c>
      <c r="O337" s="46" t="n">
        <v>-22.7711</v>
      </c>
      <c r="P337" s="46" t="n">
        <v>-77.3262</v>
      </c>
      <c r="Q337" s="46" t="n">
        <v>49.1444</v>
      </c>
      <c r="R337" s="46" t="n">
        <v>-17.0238</v>
      </c>
      <c r="S337" s="47">
        <f>IF($I337="Yes",$O337,"")</f>
        <v/>
      </c>
    </row>
    <row r="338">
      <c r="A338" s="48" t="inlineStr">
        <is>
          <t>WMT</t>
        </is>
      </c>
      <c r="B338" s="49" t="inlineStr">
        <is>
          <t>Walmart Inc.</t>
        </is>
      </c>
      <c r="C338" s="49" t="inlineStr">
        <is>
          <t>US</t>
        </is>
      </c>
      <c r="D338" s="49" t="inlineStr">
        <is>
          <t>S&amp;P 500</t>
        </is>
      </c>
      <c r="E338" s="49" t="inlineStr">
        <is>
          <t>Consumer Defensive</t>
        </is>
      </c>
      <c r="F338" s="50" t="n">
        <v>830345904128</v>
      </c>
      <c r="G338" s="49" t="inlineStr">
        <is>
          <t>nightly refresh</t>
        </is>
      </c>
      <c r="H338" s="48" t="n">
        <v>14</v>
      </c>
      <c r="I338" s="49" t="inlineStr">
        <is>
          <t>Yes</t>
        </is>
      </c>
      <c r="J338" s="49" t="inlineStr">
        <is>
          <t>1972-08-25</t>
        </is>
      </c>
      <c r="K338" s="48" t="n">
        <v>6701</v>
      </c>
      <c r="L338" s="49" t="inlineStr">
        <is>
          <t>2000-01-03</t>
        </is>
      </c>
      <c r="M338" s="49" t="inlineStr">
        <is>
          <t>2026-08-25</t>
        </is>
      </c>
      <c r="N338" s="48" t="n">
        <v>320</v>
      </c>
      <c r="O338" s="51" t="n">
        <v>-14.3665</v>
      </c>
      <c r="P338" s="51" t="n">
        <v>-37.1016</v>
      </c>
      <c r="Q338" s="51" t="n">
        <v>26.6717</v>
      </c>
      <c r="R338" s="51" t="n">
        <v>-22.0332</v>
      </c>
      <c r="S338" s="52">
        <f>IF($I338="Yes",$O338,"")</f>
        <v/>
      </c>
    </row>
    <row r="339">
      <c r="A339" s="43" t="inlineStr">
        <is>
          <t>APA</t>
        </is>
      </c>
      <c r="B339" s="44" t="inlineStr">
        <is>
          <t>APA Corporation</t>
        </is>
      </c>
      <c r="C339" s="44" t="inlineStr">
        <is>
          <t>US</t>
        </is>
      </c>
      <c r="D339" s="44" t="inlineStr">
        <is>
          <t>S&amp;P 500</t>
        </is>
      </c>
      <c r="E339" s="44" t="inlineStr">
        <is>
          <t>Energy</t>
        </is>
      </c>
      <c r="F339" s="45" t="n">
        <v>14430979072</v>
      </c>
      <c r="G339" s="44" t="inlineStr">
        <is>
          <t>nightly refresh</t>
        </is>
      </c>
      <c r="H339" s="43" t="n">
        <v>447</v>
      </c>
      <c r="I339" s="44" t="inlineStr">
        <is>
          <t>No</t>
        </is>
      </c>
      <c r="J339" s="44" t="inlineStr">
        <is>
          <t>1979-05-15</t>
        </is>
      </c>
      <c r="K339" s="43" t="n">
        <v>6701</v>
      </c>
      <c r="L339" s="44" t="inlineStr">
        <is>
          <t>2000-01-03</t>
        </is>
      </c>
      <c r="M339" s="44" t="inlineStr">
        <is>
          <t>2026-08-25</t>
        </is>
      </c>
      <c r="N339" s="43" t="n">
        <v>374</v>
      </c>
      <c r="O339" s="46" t="n">
        <v>-26.1903</v>
      </c>
      <c r="P339" s="46" t="n">
        <v>-89.0638</v>
      </c>
      <c r="Q339" s="46" t="n">
        <v>63.2423</v>
      </c>
      <c r="R339" s="46" t="n">
        <v>-8.8332</v>
      </c>
      <c r="S339" s="47">
        <f>IF($I339="Yes",$O339,"")</f>
        <v/>
      </c>
    </row>
    <row r="340">
      <c r="A340" s="48" t="inlineStr">
        <is>
          <t>BKR</t>
        </is>
      </c>
      <c r="B340" s="49" t="inlineStr">
        <is>
          <t>Baker Hughes Company</t>
        </is>
      </c>
      <c r="C340" s="49" t="inlineStr">
        <is>
          <t>US</t>
        </is>
      </c>
      <c r="D340" s="49" t="inlineStr">
        <is>
          <t>S&amp;P 500</t>
        </is>
      </c>
      <c r="E340" s="49" t="inlineStr">
        <is>
          <t>Energy</t>
        </is>
      </c>
      <c r="F340" s="50" t="n">
        <v>61545791488</v>
      </c>
      <c r="G340" s="49" t="inlineStr">
        <is>
          <t>nightly refresh</t>
        </is>
      </c>
      <c r="H340" s="48" t="n">
        <v>201</v>
      </c>
      <c r="I340" s="49" t="inlineStr">
        <is>
          <t>No</t>
        </is>
      </c>
      <c r="J340" s="49" t="inlineStr">
        <is>
          <t>1987-04-06</t>
        </is>
      </c>
      <c r="K340" s="48" t="n">
        <v>6701</v>
      </c>
      <c r="L340" s="49" t="inlineStr">
        <is>
          <t>2000-01-03</t>
        </is>
      </c>
      <c r="M340" s="49" t="inlineStr">
        <is>
          <t>2026-08-25</t>
        </is>
      </c>
      <c r="N340" s="48" t="n">
        <v>376</v>
      </c>
      <c r="O340" s="51" t="n">
        <v>-24.1845</v>
      </c>
      <c r="P340" s="51" t="n">
        <v>-71.1656</v>
      </c>
      <c r="Q340" s="51" t="n">
        <v>48.18</v>
      </c>
      <c r="R340" s="51" t="n">
        <v>-11.9064</v>
      </c>
      <c r="S340" s="52">
        <f>IF($I340="Yes",$O340,"")</f>
        <v/>
      </c>
    </row>
    <row r="341">
      <c r="A341" s="43" t="inlineStr">
        <is>
          <t>COP</t>
        </is>
      </c>
      <c r="B341" s="44" t="inlineStr">
        <is>
          <t>ConocoPhillips</t>
        </is>
      </c>
      <c r="C341" s="44" t="inlineStr">
        <is>
          <t>US</t>
        </is>
      </c>
      <c r="D341" s="44" t="inlineStr">
        <is>
          <t>S&amp;P 500</t>
        </is>
      </c>
      <c r="E341" s="44" t="inlineStr">
        <is>
          <t>Energy</t>
        </is>
      </c>
      <c r="F341" s="45" t="n">
        <v>156906684416</v>
      </c>
      <c r="G341" s="44" t="inlineStr">
        <is>
          <t>nightly refresh</t>
        </is>
      </c>
      <c r="H341" s="43" t="n">
        <v>85</v>
      </c>
      <c r="I341" s="44" t="inlineStr">
        <is>
          <t>No</t>
        </is>
      </c>
      <c r="J341" s="44" t="inlineStr">
        <is>
          <t>1981-12-31</t>
        </is>
      </c>
      <c r="K341" s="43" t="n">
        <v>6701</v>
      </c>
      <c r="L341" s="44" t="inlineStr">
        <is>
          <t>2000-01-03</t>
        </is>
      </c>
      <c r="M341" s="44" t="inlineStr">
        <is>
          <t>2026-08-25</t>
        </is>
      </c>
      <c r="N341" s="43" t="n">
        <v>349</v>
      </c>
      <c r="O341" s="46" t="n">
        <v>-20.2051</v>
      </c>
      <c r="P341" s="46" t="n">
        <v>-66.6161</v>
      </c>
      <c r="Q341" s="46" t="n">
        <v>44.477</v>
      </c>
      <c r="R341" s="46" t="n">
        <v>-2.9732</v>
      </c>
      <c r="S341" s="47">
        <f>IF($I341="Yes",$O341,"")</f>
        <v/>
      </c>
    </row>
    <row r="342">
      <c r="A342" s="48" t="inlineStr">
        <is>
          <t>CVX</t>
        </is>
      </c>
      <c r="B342" s="49" t="inlineStr">
        <is>
          <t>Chevron Corporation</t>
        </is>
      </c>
      <c r="C342" s="49" t="inlineStr">
        <is>
          <t>US</t>
        </is>
      </c>
      <c r="D342" s="49" t="inlineStr">
        <is>
          <t>S&amp;P 500</t>
        </is>
      </c>
      <c r="E342" s="49" t="inlineStr">
        <is>
          <t>Energy</t>
        </is>
      </c>
      <c r="F342" s="50" t="n">
        <v>392732606464</v>
      </c>
      <c r="G342" s="49" t="inlineStr">
        <is>
          <t>nightly refresh</t>
        </is>
      </c>
      <c r="H342" s="48" t="n">
        <v>27</v>
      </c>
      <c r="I342" s="49" t="inlineStr">
        <is>
          <t>Yes</t>
        </is>
      </c>
      <c r="J342" s="49" t="inlineStr">
        <is>
          <t>1962-01-02</t>
        </is>
      </c>
      <c r="K342" s="48" t="n">
        <v>6701</v>
      </c>
      <c r="L342" s="49" t="inlineStr">
        <is>
          <t>2000-01-03</t>
        </is>
      </c>
      <c r="M342" s="49" t="inlineStr">
        <is>
          <t>2026-08-25</t>
        </is>
      </c>
      <c r="N342" s="48" t="n">
        <v>329</v>
      </c>
      <c r="O342" s="51" t="n">
        <v>-14.9098</v>
      </c>
      <c r="P342" s="51" t="n">
        <v>-55.9341</v>
      </c>
      <c r="Q342" s="51" t="n">
        <v>33.205</v>
      </c>
      <c r="R342" s="51" t="n">
        <v>-6.0496</v>
      </c>
      <c r="S342" s="52">
        <f>IF($I342="Yes",$O342,"")</f>
        <v/>
      </c>
    </row>
    <row r="343">
      <c r="A343" s="43" t="inlineStr">
        <is>
          <t>DVN</t>
        </is>
      </c>
      <c r="B343" s="44" t="inlineStr">
        <is>
          <t>Devon Energy Corporation</t>
        </is>
      </c>
      <c r="C343" s="44" t="inlineStr">
        <is>
          <t>US</t>
        </is>
      </c>
      <c r="D343" s="44" t="inlineStr">
        <is>
          <t>S&amp;P 500</t>
        </is>
      </c>
      <c r="E343" s="44" t="inlineStr">
        <is>
          <t>Energy</t>
        </is>
      </c>
      <c r="F343" s="45" t="n">
        <v>51513004032</v>
      </c>
      <c r="G343" s="44" t="inlineStr">
        <is>
          <t>nightly refresh</t>
        </is>
      </c>
      <c r="H343" s="43" t="n">
        <v>234</v>
      </c>
      <c r="I343" s="44" t="inlineStr">
        <is>
          <t>No</t>
        </is>
      </c>
      <c r="J343" s="44" t="inlineStr">
        <is>
          <t>1985-07-22</t>
        </is>
      </c>
      <c r="K343" s="43" t="n">
        <v>6701</v>
      </c>
      <c r="L343" s="44" t="inlineStr">
        <is>
          <t>2000-01-03</t>
        </is>
      </c>
      <c r="M343" s="44" t="inlineStr">
        <is>
          <t>2026-08-25</t>
        </is>
      </c>
      <c r="N343" s="43" t="n">
        <v>368</v>
      </c>
      <c r="O343" s="46" t="n">
        <v>-25.4026</v>
      </c>
      <c r="P343" s="46" t="n">
        <v>-84.37690000000001</v>
      </c>
      <c r="Q343" s="46" t="n">
        <v>67.46899999999999</v>
      </c>
      <c r="R343" s="46" t="n">
        <v>-11.0036</v>
      </c>
      <c r="S343" s="47">
        <f>IF($I343="Yes",$O343,"")</f>
        <v/>
      </c>
    </row>
    <row r="344">
      <c r="A344" s="48" t="inlineStr">
        <is>
          <t>EOG</t>
        </is>
      </c>
      <c r="B344" s="49" t="inlineStr">
        <is>
          <t>EOG Resources, Inc.</t>
        </is>
      </c>
      <c r="C344" s="49" t="inlineStr">
        <is>
          <t>US</t>
        </is>
      </c>
      <c r="D344" s="49" t="inlineStr">
        <is>
          <t>S&amp;P 500</t>
        </is>
      </c>
      <c r="E344" s="49" t="inlineStr">
        <is>
          <t>Energy</t>
        </is>
      </c>
      <c r="F344" s="50" t="n">
        <v>75972804608</v>
      </c>
      <c r="G344" s="49" t="inlineStr">
        <is>
          <t>nightly refresh</t>
        </is>
      </c>
      <c r="H344" s="48" t="n">
        <v>173</v>
      </c>
      <c r="I344" s="49" t="inlineStr">
        <is>
          <t>No</t>
        </is>
      </c>
      <c r="J344" s="49" t="inlineStr">
        <is>
          <t>1989-10-04</t>
        </is>
      </c>
      <c r="K344" s="48" t="n">
        <v>6701</v>
      </c>
      <c r="L344" s="49" t="inlineStr">
        <is>
          <t>2000-01-03</t>
        </is>
      </c>
      <c r="M344" s="49" t="inlineStr">
        <is>
          <t>2026-08-25</t>
        </is>
      </c>
      <c r="N344" s="48" t="n">
        <v>389</v>
      </c>
      <c r="O344" s="51" t="n">
        <v>-20.9025</v>
      </c>
      <c r="P344" s="51" t="n">
        <v>-72.11839999999999</v>
      </c>
      <c r="Q344" s="51" t="n">
        <v>58.225</v>
      </c>
      <c r="R344" s="51" t="n">
        <v>-4.4511</v>
      </c>
      <c r="S344" s="52">
        <f>IF($I344="Yes",$O344,"")</f>
        <v/>
      </c>
    </row>
    <row r="345">
      <c r="A345" s="43" t="inlineStr">
        <is>
          <t>EQT</t>
        </is>
      </c>
      <c r="B345" s="44" t="inlineStr">
        <is>
          <t>EQT Corporation</t>
        </is>
      </c>
      <c r="C345" s="44" t="inlineStr">
        <is>
          <t>US</t>
        </is>
      </c>
      <c r="D345" s="44" t="inlineStr">
        <is>
          <t>S&amp;P 500</t>
        </is>
      </c>
      <c r="E345" s="44" t="inlineStr">
        <is>
          <t>Energy</t>
        </is>
      </c>
      <c r="F345" s="45" t="n">
        <v>34272024576</v>
      </c>
      <c r="G345" s="44" t="inlineStr">
        <is>
          <t>nightly refresh</t>
        </is>
      </c>
      <c r="H345" s="43" t="n">
        <v>299</v>
      </c>
      <c r="I345" s="44" t="inlineStr">
        <is>
          <t>No</t>
        </is>
      </c>
      <c r="J345" s="44" t="inlineStr">
        <is>
          <t>1980-03-17</t>
        </is>
      </c>
      <c r="K345" s="43" t="n">
        <v>6701</v>
      </c>
      <c r="L345" s="44" t="inlineStr">
        <is>
          <t>2000-01-03</t>
        </is>
      </c>
      <c r="M345" s="44" t="inlineStr">
        <is>
          <t>2026-08-25</t>
        </is>
      </c>
      <c r="N345" s="43" t="n">
        <v>350</v>
      </c>
      <c r="O345" s="46" t="n">
        <v>-22.5478</v>
      </c>
      <c r="P345" s="46" t="n">
        <v>-77.0283</v>
      </c>
      <c r="Q345" s="46" t="n">
        <v>58.2454</v>
      </c>
      <c r="R345" s="46" t="n">
        <v>-20.6445</v>
      </c>
      <c r="S345" s="47">
        <f>IF($I345="Yes",$O345,"")</f>
        <v/>
      </c>
    </row>
    <row r="346">
      <c r="A346" s="48" t="inlineStr">
        <is>
          <t>EXE</t>
        </is>
      </c>
      <c r="B346" s="49" t="inlineStr">
        <is>
          <t>Expand Energy Corporation</t>
        </is>
      </c>
      <c r="C346" s="49" t="inlineStr">
        <is>
          <t>US</t>
        </is>
      </c>
      <c r="D346" s="49" t="inlineStr">
        <is>
          <t>S&amp;P 500</t>
        </is>
      </c>
      <c r="E346" s="49" t="inlineStr">
        <is>
          <t>Energy</t>
        </is>
      </c>
      <c r="F346" s="50" t="n">
        <v>22356320256</v>
      </c>
      <c r="G346" s="49" t="inlineStr">
        <is>
          <t>nightly refresh</t>
        </is>
      </c>
      <c r="H346" s="48" t="n">
        <v>385</v>
      </c>
      <c r="I346" s="49" t="inlineStr">
        <is>
          <t>No</t>
        </is>
      </c>
      <c r="J346" s="49" t="inlineStr">
        <is>
          <t>2021-02-10</t>
        </is>
      </c>
      <c r="K346" s="48" t="n">
        <v>1391</v>
      </c>
      <c r="L346" s="49" t="inlineStr">
        <is>
          <t>2021-02-10</t>
        </is>
      </c>
      <c r="M346" s="49" t="inlineStr">
        <is>
          <t>2026-08-25</t>
        </is>
      </c>
      <c r="N346" s="48" t="n">
        <v>82</v>
      </c>
      <c r="O346" s="51" t="n">
        <v>-16.774</v>
      </c>
      <c r="P346" s="51" t="n">
        <v>-30.9528</v>
      </c>
      <c r="Q346" s="51" t="n">
        <v>50.0216</v>
      </c>
      <c r="R346" s="51" t="n">
        <v>-24.3787</v>
      </c>
      <c r="S346" s="52">
        <f>IF($I346="Yes",$O346,"")</f>
        <v/>
      </c>
    </row>
    <row r="347">
      <c r="A347" s="43" t="inlineStr">
        <is>
          <t>FANG</t>
        </is>
      </c>
      <c r="B347" s="44" t="inlineStr">
        <is>
          <t>Diamondback Energy, Inc.</t>
        </is>
      </c>
      <c r="C347" s="44" t="inlineStr">
        <is>
          <t>US</t>
        </is>
      </c>
      <c r="D347" s="44" t="inlineStr">
        <is>
          <t>S&amp;P 500</t>
        </is>
      </c>
      <c r="E347" s="44" t="inlineStr">
        <is>
          <t>Energy</t>
        </is>
      </c>
      <c r="F347" s="45" t="n">
        <v>55959150592</v>
      </c>
      <c r="G347" s="44" t="inlineStr">
        <is>
          <t>nightly refresh</t>
        </is>
      </c>
      <c r="H347" s="43" t="n">
        <v>220</v>
      </c>
      <c r="I347" s="44" t="inlineStr">
        <is>
          <t>No</t>
        </is>
      </c>
      <c r="J347" s="44" t="inlineStr">
        <is>
          <t>2012-10-12</t>
        </is>
      </c>
      <c r="K347" s="43" t="n">
        <v>3485</v>
      </c>
      <c r="L347" s="44" t="inlineStr">
        <is>
          <t>2012-10-12</t>
        </is>
      </c>
      <c r="M347" s="44" t="inlineStr">
        <is>
          <t>2026-08-25</t>
        </is>
      </c>
      <c r="N347" s="43" t="n">
        <v>216</v>
      </c>
      <c r="O347" s="46" t="n">
        <v>-21.3278</v>
      </c>
      <c r="P347" s="46" t="n">
        <v>-86.19929999999999</v>
      </c>
      <c r="Q347" s="46" t="n">
        <v>89.4157</v>
      </c>
      <c r="R347" s="46" t="n">
        <v>-7.8423</v>
      </c>
      <c r="S347" s="47">
        <f>IF($I347="Yes",$O347,"")</f>
        <v/>
      </c>
    </row>
    <row r="348">
      <c r="A348" s="48" t="inlineStr">
        <is>
          <t>HAL</t>
        </is>
      </c>
      <c r="B348" s="49" t="inlineStr">
        <is>
          <t>Halliburton Company</t>
        </is>
      </c>
      <c r="C348" s="49" t="inlineStr">
        <is>
          <t>US</t>
        </is>
      </c>
      <c r="D348" s="49" t="inlineStr">
        <is>
          <t>S&amp;P 500</t>
        </is>
      </c>
      <c r="E348" s="49" t="inlineStr">
        <is>
          <t>Energy</t>
        </is>
      </c>
      <c r="F348" s="50" t="n">
        <v>28693008384</v>
      </c>
      <c r="G348" s="49" t="inlineStr">
        <is>
          <t>nightly refresh</t>
        </is>
      </c>
      <c r="H348" s="48" t="n">
        <v>324</v>
      </c>
      <c r="I348" s="49" t="inlineStr">
        <is>
          <t>No</t>
        </is>
      </c>
      <c r="J348" s="49" t="inlineStr">
        <is>
          <t>1972-06-01</t>
        </is>
      </c>
      <c r="K348" s="48" t="n">
        <v>6701</v>
      </c>
      <c r="L348" s="49" t="inlineStr">
        <is>
          <t>2000-01-03</t>
        </is>
      </c>
      <c r="M348" s="49" t="inlineStr">
        <is>
          <t>2026-08-25</t>
        </is>
      </c>
      <c r="N348" s="48" t="n">
        <v>380</v>
      </c>
      <c r="O348" s="51" t="n">
        <v>-28.4772</v>
      </c>
      <c r="P348" s="51" t="n">
        <v>-85.187</v>
      </c>
      <c r="Q348" s="51" t="n">
        <v>68.02679999999999</v>
      </c>
      <c r="R348" s="51" t="n">
        <v>-22.1294</v>
      </c>
      <c r="S348" s="52">
        <f>IF($I348="Yes",$O348,"")</f>
        <v/>
      </c>
    </row>
    <row r="349">
      <c r="A349" s="43" t="inlineStr">
        <is>
          <t>KMI</t>
        </is>
      </c>
      <c r="B349" s="44" t="inlineStr">
        <is>
          <t>Kinder Morgan, Inc.</t>
        </is>
      </c>
      <c r="C349" s="44" t="inlineStr">
        <is>
          <t>US</t>
        </is>
      </c>
      <c r="D349" s="44" t="inlineStr">
        <is>
          <t>S&amp;P 500</t>
        </is>
      </c>
      <c r="E349" s="44" t="inlineStr">
        <is>
          <t>Energy</t>
        </is>
      </c>
      <c r="F349" s="45" t="n">
        <v>71302209536</v>
      </c>
      <c r="G349" s="44" t="inlineStr">
        <is>
          <t>nightly refresh</t>
        </is>
      </c>
      <c r="H349" s="43" t="n">
        <v>184</v>
      </c>
      <c r="I349" s="44" t="inlineStr">
        <is>
          <t>No</t>
        </is>
      </c>
      <c r="J349" s="44" t="inlineStr">
        <is>
          <t>2011-02-11</t>
        </is>
      </c>
      <c r="K349" s="43" t="n">
        <v>3906</v>
      </c>
      <c r="L349" s="44" t="inlineStr">
        <is>
          <t>2011-02-11</t>
        </is>
      </c>
      <c r="M349" s="44" t="inlineStr">
        <is>
          <t>2026-08-25</t>
        </is>
      </c>
      <c r="N349" s="43" t="n">
        <v>205</v>
      </c>
      <c r="O349" s="46" t="n">
        <v>-18.242</v>
      </c>
      <c r="P349" s="46" t="n">
        <v>-71.9474</v>
      </c>
      <c r="Q349" s="46" t="n">
        <v>39.2843</v>
      </c>
      <c r="R349" s="46" t="n">
        <v>-11.1175</v>
      </c>
      <c r="S349" s="47">
        <f>IF($I349="Yes",$O349,"")</f>
        <v/>
      </c>
    </row>
    <row r="350">
      <c r="A350" s="48" t="inlineStr">
        <is>
          <t>MPC</t>
        </is>
      </c>
      <c r="B350" s="49" t="inlineStr">
        <is>
          <t>Marathon Petroleum Corporation</t>
        </is>
      </c>
      <c r="C350" s="49" t="inlineStr">
        <is>
          <t>US</t>
        </is>
      </c>
      <c r="D350" s="49" t="inlineStr">
        <is>
          <t>S&amp;P 500</t>
        </is>
      </c>
      <c r="E350" s="49" t="inlineStr">
        <is>
          <t>Energy</t>
        </is>
      </c>
      <c r="F350" s="50" t="n">
        <v>101734383616</v>
      </c>
      <c r="G350" s="49" t="inlineStr">
        <is>
          <t>nightly refresh</t>
        </is>
      </c>
      <c r="H350" s="48" t="n">
        <v>122</v>
      </c>
      <c r="I350" s="49" t="inlineStr">
        <is>
          <t>No</t>
        </is>
      </c>
      <c r="J350" s="49" t="inlineStr">
        <is>
          <t>2011-06-24</t>
        </is>
      </c>
      <c r="K350" s="48" t="n">
        <v>3814</v>
      </c>
      <c r="L350" s="49" t="inlineStr">
        <is>
          <t>2011-06-24</t>
        </is>
      </c>
      <c r="M350" s="49" t="inlineStr">
        <is>
          <t>2026-08-25</t>
        </is>
      </c>
      <c r="N350" s="48" t="n">
        <v>214</v>
      </c>
      <c r="O350" s="51" t="n">
        <v>-21.2683</v>
      </c>
      <c r="P350" s="51" t="n">
        <v>-75.6986</v>
      </c>
      <c r="Q350" s="51" t="n">
        <v>70.4225</v>
      </c>
      <c r="R350" s="51" t="n">
        <v>-3.4603</v>
      </c>
      <c r="S350" s="52">
        <f>IF($I350="Yes",$O350,"")</f>
        <v/>
      </c>
    </row>
    <row r="351">
      <c r="A351" s="43" t="inlineStr">
        <is>
          <t>OKE</t>
        </is>
      </c>
      <c r="B351" s="44" t="inlineStr">
        <is>
          <t>ONEOK, Inc.</t>
        </is>
      </c>
      <c r="C351" s="44" t="inlineStr">
        <is>
          <t>US</t>
        </is>
      </c>
      <c r="D351" s="44" t="inlineStr">
        <is>
          <t>S&amp;P 500</t>
        </is>
      </c>
      <c r="E351" s="44" t="inlineStr">
        <is>
          <t>Energy</t>
        </is>
      </c>
      <c r="F351" s="45" t="n">
        <v>59822084096</v>
      </c>
      <c r="G351" s="44" t="inlineStr">
        <is>
          <t>nightly refresh</t>
        </is>
      </c>
      <c r="H351" s="43" t="n">
        <v>203</v>
      </c>
      <c r="I351" s="44" t="inlineStr">
        <is>
          <t>No</t>
        </is>
      </c>
      <c r="J351" s="44" t="inlineStr">
        <is>
          <t>1980-10-01</t>
        </is>
      </c>
      <c r="K351" s="43" t="n">
        <v>6701</v>
      </c>
      <c r="L351" s="44" t="inlineStr">
        <is>
          <t>2000-01-03</t>
        </is>
      </c>
      <c r="M351" s="44" t="inlineStr">
        <is>
          <t>2026-08-25</t>
        </is>
      </c>
      <c r="N351" s="43" t="n">
        <v>313</v>
      </c>
      <c r="O351" s="46" t="n">
        <v>-19.7121</v>
      </c>
      <c r="P351" s="46" t="n">
        <v>-80.41540000000001</v>
      </c>
      <c r="Q351" s="46" t="n">
        <v>62.4313</v>
      </c>
      <c r="R351" s="46" t="n">
        <v>-6.333</v>
      </c>
      <c r="S351" s="47">
        <f>IF($I351="Yes",$O351,"")</f>
        <v/>
      </c>
    </row>
    <row r="352">
      <c r="A352" s="48" t="inlineStr">
        <is>
          <t>OXY</t>
        </is>
      </c>
      <c r="B352" s="49" t="inlineStr">
        <is>
          <t>Occidental Petroleum Corporation</t>
        </is>
      </c>
      <c r="C352" s="49" t="inlineStr">
        <is>
          <t>US</t>
        </is>
      </c>
      <c r="D352" s="49" t="inlineStr">
        <is>
          <t>S&amp;P 500</t>
        </is>
      </c>
      <c r="E352" s="49" t="inlineStr">
        <is>
          <t>Energy</t>
        </is>
      </c>
      <c r="F352" s="50" t="n">
        <v>58598739968</v>
      </c>
      <c r="G352" s="49" t="inlineStr">
        <is>
          <t>nightly refresh</t>
        </is>
      </c>
      <c r="H352" s="48" t="n">
        <v>211</v>
      </c>
      <c r="I352" s="49" t="inlineStr">
        <is>
          <t>No</t>
        </is>
      </c>
      <c r="J352" s="49" t="inlineStr">
        <is>
          <t>1981-12-31</t>
        </is>
      </c>
      <c r="K352" s="48" t="n">
        <v>6701</v>
      </c>
      <c r="L352" s="49" t="inlineStr">
        <is>
          <t>2000-01-03</t>
        </is>
      </c>
      <c r="M352" s="49" t="inlineStr">
        <is>
          <t>2026-08-25</t>
        </is>
      </c>
      <c r="N352" s="48" t="n">
        <v>364</v>
      </c>
      <c r="O352" s="51" t="n">
        <v>-20.9012</v>
      </c>
      <c r="P352" s="51" t="n">
        <v>-84.6901</v>
      </c>
      <c r="Q352" s="51" t="n">
        <v>53.1803</v>
      </c>
      <c r="R352" s="51" t="n">
        <v>-13.0025</v>
      </c>
      <c r="S352" s="52">
        <f>IF($I352="Yes",$O352,"")</f>
        <v/>
      </c>
    </row>
    <row r="353">
      <c r="A353" s="43" t="inlineStr">
        <is>
          <t>PSX</t>
        </is>
      </c>
      <c r="B353" s="44" t="inlineStr">
        <is>
          <t>Phillips 66</t>
        </is>
      </c>
      <c r="C353" s="44" t="inlineStr">
        <is>
          <t>US</t>
        </is>
      </c>
      <c r="D353" s="44" t="inlineStr">
        <is>
          <t>S&amp;P 500</t>
        </is>
      </c>
      <c r="E353" s="44" t="inlineStr">
        <is>
          <t>Energy</t>
        </is>
      </c>
      <c r="F353" s="45" t="n">
        <v>97118486528</v>
      </c>
      <c r="G353" s="44" t="inlineStr">
        <is>
          <t>nightly refresh</t>
        </is>
      </c>
      <c r="H353" s="43" t="n">
        <v>131</v>
      </c>
      <c r="I353" s="44" t="inlineStr">
        <is>
          <t>No</t>
        </is>
      </c>
      <c r="J353" s="44" t="inlineStr">
        <is>
          <t>2012-04-12</t>
        </is>
      </c>
      <c r="K353" s="43" t="n">
        <v>3613</v>
      </c>
      <c r="L353" s="44" t="inlineStr">
        <is>
          <t>2012-04-12</t>
        </is>
      </c>
      <c r="M353" s="44" t="inlineStr">
        <is>
          <t>2026-08-25</t>
        </is>
      </c>
      <c r="N353" s="43" t="n">
        <v>186</v>
      </c>
      <c r="O353" s="46" t="n">
        <v>-17.9151</v>
      </c>
      <c r="P353" s="46" t="n">
        <v>-64.3373</v>
      </c>
      <c r="Q353" s="46" t="n">
        <v>50.9593</v>
      </c>
      <c r="R353" s="46" t="n">
        <v>-4.0697</v>
      </c>
      <c r="S353" s="47">
        <f>IF($I353="Yes",$O353,"")</f>
        <v/>
      </c>
    </row>
    <row r="354">
      <c r="A354" s="48" t="inlineStr">
        <is>
          <t>SLB</t>
        </is>
      </c>
      <c r="B354" s="49" t="inlineStr">
        <is>
          <t>SLB N.V.</t>
        </is>
      </c>
      <c r="C354" s="49" t="inlineStr">
        <is>
          <t>US</t>
        </is>
      </c>
      <c r="D354" s="49" t="inlineStr">
        <is>
          <t>S&amp;P 500</t>
        </is>
      </c>
      <c r="E354" s="49" t="inlineStr">
        <is>
          <t>Energy</t>
        </is>
      </c>
      <c r="F354" s="50" t="n">
        <v>79550078976</v>
      </c>
      <c r="G354" s="49" t="inlineStr">
        <is>
          <t>nightly refresh</t>
        </is>
      </c>
      <c r="H354" s="48" t="n">
        <v>164</v>
      </c>
      <c r="I354" s="49" t="inlineStr">
        <is>
          <t>No</t>
        </is>
      </c>
      <c r="J354" s="49" t="inlineStr">
        <is>
          <t>1981-12-31</t>
        </is>
      </c>
      <c r="K354" s="48" t="n">
        <v>6701</v>
      </c>
      <c r="L354" s="49" t="inlineStr">
        <is>
          <t>2000-01-03</t>
        </is>
      </c>
      <c r="M354" s="49" t="inlineStr">
        <is>
          <t>2026-08-25</t>
        </is>
      </c>
      <c r="N354" s="48" t="n">
        <v>356</v>
      </c>
      <c r="O354" s="51" t="n">
        <v>-24.3803</v>
      </c>
      <c r="P354" s="51" t="n">
        <v>-73.8695</v>
      </c>
      <c r="Q354" s="51" t="n">
        <v>46.8912</v>
      </c>
      <c r="R354" s="51" t="n">
        <v>-8.926600000000001</v>
      </c>
      <c r="S354" s="52">
        <f>IF($I354="Yes",$O354,"")</f>
        <v/>
      </c>
    </row>
    <row r="355">
      <c r="A355" s="43" t="inlineStr">
        <is>
          <t>TPL</t>
        </is>
      </c>
      <c r="B355" s="44" t="inlineStr">
        <is>
          <t>Texas Pacific Land Corporation</t>
        </is>
      </c>
      <c r="C355" s="44" t="inlineStr">
        <is>
          <t>US</t>
        </is>
      </c>
      <c r="D355" s="44" t="inlineStr">
        <is>
          <t>S&amp;P 500</t>
        </is>
      </c>
      <c r="E355" s="44" t="inlineStr">
        <is>
          <t>Energy</t>
        </is>
      </c>
      <c r="F355" s="45" t="n">
        <v>25479245824</v>
      </c>
      <c r="G355" s="44" t="inlineStr">
        <is>
          <t>nightly refresh</t>
        </is>
      </c>
      <c r="H355" s="43" t="n">
        <v>357</v>
      </c>
      <c r="I355" s="44" t="inlineStr">
        <is>
          <t>No</t>
        </is>
      </c>
      <c r="J355" s="44" t="inlineStr">
        <is>
          <t>1980-03-17</t>
        </is>
      </c>
      <c r="K355" s="43" t="n">
        <v>6701</v>
      </c>
      <c r="L355" s="44" t="inlineStr">
        <is>
          <t>2000-01-03</t>
        </is>
      </c>
      <c r="M355" s="44" t="inlineStr">
        <is>
          <t>2026-08-25</t>
        </is>
      </c>
      <c r="N355" s="43" t="n">
        <v>358</v>
      </c>
      <c r="O355" s="46" t="n">
        <v>-22.9813</v>
      </c>
      <c r="P355" s="46" t="n">
        <v>-70.0997</v>
      </c>
      <c r="Q355" s="46" t="n">
        <v>77.46980000000001</v>
      </c>
      <c r="R355" s="46" t="n">
        <v>-31.6908</v>
      </c>
      <c r="S355" s="47">
        <f>IF($I355="Yes",$O355,"")</f>
        <v/>
      </c>
    </row>
    <row r="356">
      <c r="A356" s="48" t="inlineStr">
        <is>
          <t>TRGP</t>
        </is>
      </c>
      <c r="B356" s="49" t="inlineStr">
        <is>
          <t>Targa Resources Corp.</t>
        </is>
      </c>
      <c r="C356" s="49" t="inlineStr">
        <is>
          <t>US</t>
        </is>
      </c>
      <c r="D356" s="49" t="inlineStr">
        <is>
          <t>S&amp;P 500</t>
        </is>
      </c>
      <c r="E356" s="49" t="inlineStr">
        <is>
          <t>Energy</t>
        </is>
      </c>
      <c r="F356" s="50" t="n">
        <v>63049154560</v>
      </c>
      <c r="G356" s="49" t="inlineStr">
        <is>
          <t>nightly refresh</t>
        </is>
      </c>
      <c r="H356" s="48" t="n">
        <v>197</v>
      </c>
      <c r="I356" s="49" t="inlineStr">
        <is>
          <t>No</t>
        </is>
      </c>
      <c r="J356" s="49" t="inlineStr">
        <is>
          <t>2010-12-07</t>
        </is>
      </c>
      <c r="K356" s="48" t="n">
        <v>3952</v>
      </c>
      <c r="L356" s="49" t="inlineStr">
        <is>
          <t>2010-12-07</t>
        </is>
      </c>
      <c r="M356" s="49" t="inlineStr">
        <is>
          <t>2026-08-25</t>
        </is>
      </c>
      <c r="N356" s="48" t="n">
        <v>213</v>
      </c>
      <c r="O356" s="51" t="n">
        <v>-23.8628</v>
      </c>
      <c r="P356" s="51" t="n">
        <v>-88.5943</v>
      </c>
      <c r="Q356" s="51" t="n">
        <v>110.2915</v>
      </c>
      <c r="R356" s="51" t="n">
        <v>-6.8293</v>
      </c>
      <c r="S356" s="52">
        <f>IF($I356="Yes",$O356,"")</f>
        <v/>
      </c>
    </row>
    <row r="357">
      <c r="A357" s="43" t="inlineStr">
        <is>
          <t>VLO</t>
        </is>
      </c>
      <c r="B357" s="44" t="inlineStr">
        <is>
          <t>Valero Energy Corporation</t>
        </is>
      </c>
      <c r="C357" s="44" t="inlineStr">
        <is>
          <t>US</t>
        </is>
      </c>
      <c r="D357" s="44" t="inlineStr">
        <is>
          <t>S&amp;P 500</t>
        </is>
      </c>
      <c r="E357" s="44" t="inlineStr">
        <is>
          <t>Energy</t>
        </is>
      </c>
      <c r="F357" s="45" t="n">
        <v>100207394816</v>
      </c>
      <c r="G357" s="44" t="inlineStr">
        <is>
          <t>nightly refresh</t>
        </is>
      </c>
      <c r="H357" s="43" t="n">
        <v>126</v>
      </c>
      <c r="I357" s="44" t="inlineStr">
        <is>
          <t>No</t>
        </is>
      </c>
      <c r="J357" s="44" t="inlineStr">
        <is>
          <t>1982-01-04</t>
        </is>
      </c>
      <c r="K357" s="43" t="n">
        <v>6701</v>
      </c>
      <c r="L357" s="44" t="inlineStr">
        <is>
          <t>2000-01-03</t>
        </is>
      </c>
      <c r="M357" s="44" t="inlineStr">
        <is>
          <t>2026-08-25</t>
        </is>
      </c>
      <c r="N357" s="43" t="n">
        <v>384</v>
      </c>
      <c r="O357" s="46" t="n">
        <v>-23.2829</v>
      </c>
      <c r="P357" s="46" t="n">
        <v>-79.9288</v>
      </c>
      <c r="Q357" s="46" t="n">
        <v>64.97920000000001</v>
      </c>
      <c r="R357" s="46" t="n">
        <v>-3.5666</v>
      </c>
      <c r="S357" s="47">
        <f>IF($I357="Yes",$O357,"")</f>
        <v/>
      </c>
    </row>
    <row r="358">
      <c r="A358" s="48" t="inlineStr">
        <is>
          <t>WMB</t>
        </is>
      </c>
      <c r="B358" s="49" t="inlineStr">
        <is>
          <t>The Williams Companies, Inc.</t>
        </is>
      </c>
      <c r="C358" s="49" t="inlineStr">
        <is>
          <t>US</t>
        </is>
      </c>
      <c r="D358" s="49" t="inlineStr">
        <is>
          <t>S&amp;P 500</t>
        </is>
      </c>
      <c r="E358" s="49" t="inlineStr">
        <is>
          <t>Energy</t>
        </is>
      </c>
      <c r="F358" s="50" t="n">
        <v>91015897088</v>
      </c>
      <c r="G358" s="49" t="inlineStr">
        <is>
          <t>nightly refresh</t>
        </is>
      </c>
      <c r="H358" s="48" t="n">
        <v>143</v>
      </c>
      <c r="I358" s="49" t="inlineStr">
        <is>
          <t>No</t>
        </is>
      </c>
      <c r="J358" s="49" t="inlineStr">
        <is>
          <t>1981-12-31</t>
        </is>
      </c>
      <c r="K358" s="48" t="n">
        <v>6701</v>
      </c>
      <c r="L358" s="49" t="inlineStr">
        <is>
          <t>2000-01-03</t>
        </is>
      </c>
      <c r="M358" s="49" t="inlineStr">
        <is>
          <t>2026-08-25</t>
        </is>
      </c>
      <c r="N358" s="48" t="n">
        <v>342</v>
      </c>
      <c r="O358" s="51" t="n">
        <v>-23.3863</v>
      </c>
      <c r="P358" s="51" t="n">
        <v>-97.31019999999999</v>
      </c>
      <c r="Q358" s="51" t="n">
        <v>83.96559999999999</v>
      </c>
      <c r="R358" s="51" t="n">
        <v>-10.5833</v>
      </c>
      <c r="S358" s="52">
        <f>IF($I358="Yes",$O358,"")</f>
        <v/>
      </c>
    </row>
    <row r="359">
      <c r="A359" s="43" t="inlineStr">
        <is>
          <t>XOM</t>
        </is>
      </c>
      <c r="B359" s="44" t="inlineStr">
        <is>
          <t>ExxonMobil Holdings Corporation</t>
        </is>
      </c>
      <c r="C359" s="44" t="inlineStr">
        <is>
          <t>US</t>
        </is>
      </c>
      <c r="D359" s="44" t="inlineStr">
        <is>
          <t>S&amp;P 500</t>
        </is>
      </c>
      <c r="E359" s="44" t="inlineStr">
        <is>
          <t>Energy</t>
        </is>
      </c>
      <c r="F359" s="45" t="n">
        <v>650463346688</v>
      </c>
      <c r="G359" s="44" t="inlineStr">
        <is>
          <t>nightly refresh</t>
        </is>
      </c>
      <c r="H359" s="43" t="n">
        <v>18</v>
      </c>
      <c r="I359" s="44" t="inlineStr">
        <is>
          <t>Yes</t>
        </is>
      </c>
      <c r="J359" s="44" t="inlineStr">
        <is>
          <t>1962-01-02</t>
        </is>
      </c>
      <c r="K359" s="43" t="n">
        <v>6701</v>
      </c>
      <c r="L359" s="44" t="inlineStr">
        <is>
          <t>2000-01-03</t>
        </is>
      </c>
      <c r="M359" s="44" t="inlineStr">
        <is>
          <t>2026-08-25</t>
        </is>
      </c>
      <c r="N359" s="43" t="n">
        <v>345</v>
      </c>
      <c r="O359" s="46" t="n">
        <v>-15.0197</v>
      </c>
      <c r="P359" s="46" t="n">
        <v>-60.3996</v>
      </c>
      <c r="Q359" s="46" t="n">
        <v>31.664</v>
      </c>
      <c r="R359" s="46" t="n">
        <v>-8.321300000000001</v>
      </c>
      <c r="S359" s="47">
        <f>IF($I359="Yes",$O359,"")</f>
        <v/>
      </c>
    </row>
    <row r="360">
      <c r="A360" s="48" t="inlineStr">
        <is>
          <t>ACGL</t>
        </is>
      </c>
      <c r="B360" s="49" t="inlineStr">
        <is>
          <t>Arch Capital Group Ltd.</t>
        </is>
      </c>
      <c r="C360" s="49" t="inlineStr">
        <is>
          <t>US</t>
        </is>
      </c>
      <c r="D360" s="49" t="inlineStr">
        <is>
          <t>S&amp;P 500</t>
        </is>
      </c>
      <c r="E360" s="49" t="inlineStr">
        <is>
          <t>Financial Services</t>
        </is>
      </c>
      <c r="F360" s="50" t="n">
        <v>34368598016</v>
      </c>
      <c r="G360" s="49" t="inlineStr">
        <is>
          <t>nightly refresh</t>
        </is>
      </c>
      <c r="H360" s="48" t="n">
        <v>297</v>
      </c>
      <c r="I360" s="49" t="inlineStr">
        <is>
          <t>No</t>
        </is>
      </c>
      <c r="J360" s="49" t="inlineStr">
        <is>
          <t>1995-09-14</t>
        </is>
      </c>
      <c r="K360" s="48" t="n">
        <v>6701</v>
      </c>
      <c r="L360" s="49" t="inlineStr">
        <is>
          <t>2000-01-03</t>
        </is>
      </c>
      <c r="M360" s="49" t="inlineStr">
        <is>
          <t>2026-08-25</t>
        </is>
      </c>
      <c r="N360" s="48" t="n">
        <v>292</v>
      </c>
      <c r="O360" s="51" t="n">
        <v>-13.9334</v>
      </c>
      <c r="P360" s="51" t="n">
        <v>-53.9735</v>
      </c>
      <c r="Q360" s="51" t="n">
        <v>37.8686</v>
      </c>
      <c r="R360" s="51" t="n">
        <v>-6.0977</v>
      </c>
      <c r="S360" s="52">
        <f>IF($I360="Yes",$O360,"")</f>
        <v/>
      </c>
    </row>
    <row r="361">
      <c r="A361" s="43" t="inlineStr">
        <is>
          <t>AFL</t>
        </is>
      </c>
      <c r="B361" s="44" t="inlineStr">
        <is>
          <t>Aflac Incorporated</t>
        </is>
      </c>
      <c r="C361" s="44" t="inlineStr">
        <is>
          <t>US</t>
        </is>
      </c>
      <c r="D361" s="44" t="inlineStr">
        <is>
          <t>S&amp;P 500</t>
        </is>
      </c>
      <c r="E361" s="44" t="inlineStr">
        <is>
          <t>Financial Services</t>
        </is>
      </c>
      <c r="F361" s="45" t="n">
        <v>58882768896</v>
      </c>
      <c r="G361" s="44" t="inlineStr">
        <is>
          <t>nightly refresh</t>
        </is>
      </c>
      <c r="H361" s="43" t="n">
        <v>208</v>
      </c>
      <c r="I361" s="44" t="inlineStr">
        <is>
          <t>No</t>
        </is>
      </c>
      <c r="J361" s="44" t="inlineStr">
        <is>
          <t>1980-03-17</t>
        </is>
      </c>
      <c r="K361" s="43" t="n">
        <v>6701</v>
      </c>
      <c r="L361" s="44" t="inlineStr">
        <is>
          <t>2000-01-03</t>
        </is>
      </c>
      <c r="M361" s="44" t="inlineStr">
        <is>
          <t>2026-08-25</t>
        </is>
      </c>
      <c r="N361" s="43" t="n">
        <v>320</v>
      </c>
      <c r="O361" s="46" t="n">
        <v>-16.3141</v>
      </c>
      <c r="P361" s="46" t="n">
        <v>-82.8546</v>
      </c>
      <c r="Q361" s="46" t="n">
        <v>46.5228</v>
      </c>
      <c r="R361" s="46" t="n">
        <v>-10.3324</v>
      </c>
      <c r="S361" s="47">
        <f>IF($I361="Yes",$O361,"")</f>
        <v/>
      </c>
    </row>
    <row r="362">
      <c r="A362" s="48" t="inlineStr">
        <is>
          <t>AIG</t>
        </is>
      </c>
      <c r="B362" s="49" t="inlineStr">
        <is>
          <t>American International Group, Inc.</t>
        </is>
      </c>
      <c r="C362" s="49" t="inlineStr">
        <is>
          <t>US</t>
        </is>
      </c>
      <c r="D362" s="49" t="inlineStr">
        <is>
          <t>S&amp;P 500</t>
        </is>
      </c>
      <c r="E362" s="49" t="inlineStr">
        <is>
          <t>Financial Services</t>
        </is>
      </c>
      <c r="F362" s="50" t="n">
        <v>40247087104</v>
      </c>
      <c r="G362" s="49" t="inlineStr">
        <is>
          <t>nightly refresh</t>
        </is>
      </c>
      <c r="H362" s="48" t="n">
        <v>272</v>
      </c>
      <c r="I362" s="49" t="inlineStr">
        <is>
          <t>No</t>
        </is>
      </c>
      <c r="J362" s="49" t="inlineStr">
        <is>
          <t>1973-01-02</t>
        </is>
      </c>
      <c r="K362" s="48" t="n">
        <v>6701</v>
      </c>
      <c r="L362" s="49" t="inlineStr">
        <is>
          <t>2000-01-03</t>
        </is>
      </c>
      <c r="M362" s="49" t="inlineStr">
        <is>
          <t>2026-08-25</t>
        </is>
      </c>
      <c r="N362" s="48" t="n">
        <v>357</v>
      </c>
      <c r="O362" s="51" t="n">
        <v>-24.5022</v>
      </c>
      <c r="P362" s="51" t="n">
        <v>-99.1994</v>
      </c>
      <c r="Q362" s="51" t="n">
        <v>62.2272</v>
      </c>
      <c r="R362" s="51" t="n">
        <v>-11.9824</v>
      </c>
      <c r="S362" s="52">
        <f>IF($I362="Yes",$O362,"")</f>
        <v/>
      </c>
    </row>
    <row r="363">
      <c r="A363" s="43" t="inlineStr">
        <is>
          <t>AIZ</t>
        </is>
      </c>
      <c r="B363" s="44" t="inlineStr">
        <is>
          <t>Assurant, Inc.</t>
        </is>
      </c>
      <c r="C363" s="44" t="inlineStr">
        <is>
          <t>US</t>
        </is>
      </c>
      <c r="D363" s="44" t="inlineStr">
        <is>
          <t>S&amp;P 500</t>
        </is>
      </c>
      <c r="E363" s="44" t="inlineStr">
        <is>
          <t>Financial Services</t>
        </is>
      </c>
      <c r="F363" s="45" t="n">
        <v>14230401024</v>
      </c>
      <c r="G363" s="44" t="inlineStr">
        <is>
          <t>nightly refresh</t>
        </is>
      </c>
      <c r="H363" s="43" t="n">
        <v>450</v>
      </c>
      <c r="I363" s="44" t="inlineStr">
        <is>
          <t>No</t>
        </is>
      </c>
      <c r="J363" s="44" t="inlineStr">
        <is>
          <t>2004-02-05</t>
        </is>
      </c>
      <c r="K363" s="43" t="n">
        <v>5674</v>
      </c>
      <c r="L363" s="44" t="inlineStr">
        <is>
          <t>2004-02-05</t>
        </is>
      </c>
      <c r="M363" s="44" t="inlineStr">
        <is>
          <t>2026-08-25</t>
        </is>
      </c>
      <c r="N363" s="43" t="n">
        <v>260</v>
      </c>
      <c r="O363" s="46" t="n">
        <v>-15.4401</v>
      </c>
      <c r="P363" s="46" t="n">
        <v>-81.8891</v>
      </c>
      <c r="Q363" s="46" t="n">
        <v>45.0796</v>
      </c>
      <c r="R363" s="46" t="n">
        <v>-6.1821</v>
      </c>
      <c r="S363" s="47">
        <f>IF($I363="Yes",$O363,"")</f>
        <v/>
      </c>
    </row>
    <row r="364">
      <c r="A364" s="48" t="inlineStr">
        <is>
          <t>AJG</t>
        </is>
      </c>
      <c r="B364" s="49" t="inlineStr">
        <is>
          <t>Arthur J. Gallagher &amp; Co.</t>
        </is>
      </c>
      <c r="C364" s="49" t="inlineStr">
        <is>
          <t>US</t>
        </is>
      </c>
      <c r="D364" s="49" t="inlineStr">
        <is>
          <t>S&amp;P 500</t>
        </is>
      </c>
      <c r="E364" s="49" t="inlineStr">
        <is>
          <t>Financial Services</t>
        </is>
      </c>
      <c r="F364" s="50" t="n">
        <v>67938054144</v>
      </c>
      <c r="G364" s="49" t="inlineStr">
        <is>
          <t>nightly refresh</t>
        </is>
      </c>
      <c r="H364" s="48" t="n">
        <v>190</v>
      </c>
      <c r="I364" s="49" t="inlineStr">
        <is>
          <t>No</t>
        </is>
      </c>
      <c r="J364" s="49" t="inlineStr">
        <is>
          <t>1984-06-20</t>
        </is>
      </c>
      <c r="K364" s="48" t="n">
        <v>6701</v>
      </c>
      <c r="L364" s="49" t="inlineStr">
        <is>
          <t>2000-01-03</t>
        </is>
      </c>
      <c r="M364" s="49" t="inlineStr">
        <is>
          <t>2026-08-25</t>
        </is>
      </c>
      <c r="N364" s="48" t="n">
        <v>309</v>
      </c>
      <c r="O364" s="51" t="n">
        <v>-14.6256</v>
      </c>
      <c r="P364" s="51" t="n">
        <v>-48.6222</v>
      </c>
      <c r="Q364" s="51" t="n">
        <v>37.1879</v>
      </c>
      <c r="R364" s="51" t="n">
        <v>-13.5879</v>
      </c>
      <c r="S364" s="52">
        <f>IF($I364="Yes",$O364,"")</f>
        <v/>
      </c>
    </row>
    <row r="365">
      <c r="A365" s="43" t="inlineStr">
        <is>
          <t>ALL</t>
        </is>
      </c>
      <c r="B365" s="44" t="inlineStr">
        <is>
          <t>The Allstate Corporation</t>
        </is>
      </c>
      <c r="C365" s="44" t="inlineStr">
        <is>
          <t>US</t>
        </is>
      </c>
      <c r="D365" s="44" t="inlineStr">
        <is>
          <t>S&amp;P 500</t>
        </is>
      </c>
      <c r="E365" s="44" t="inlineStr">
        <is>
          <t>Financial Services</t>
        </is>
      </c>
      <c r="F365" s="45" t="n">
        <v>66200739840</v>
      </c>
      <c r="G365" s="44" t="inlineStr">
        <is>
          <t>nightly refresh</t>
        </is>
      </c>
      <c r="H365" s="43" t="n">
        <v>193</v>
      </c>
      <c r="I365" s="44" t="inlineStr">
        <is>
          <t>No</t>
        </is>
      </c>
      <c r="J365" s="44" t="inlineStr">
        <is>
          <t>1993-06-03</t>
        </is>
      </c>
      <c r="K365" s="43" t="n">
        <v>6701</v>
      </c>
      <c r="L365" s="44" t="inlineStr">
        <is>
          <t>2000-01-03</t>
        </is>
      </c>
      <c r="M365" s="44" t="inlineStr">
        <is>
          <t>2026-08-25</t>
        </is>
      </c>
      <c r="N365" s="43" t="n">
        <v>317</v>
      </c>
      <c r="O365" s="46" t="n">
        <v>-16.5942</v>
      </c>
      <c r="P365" s="46" t="n">
        <v>-71.9873</v>
      </c>
      <c r="Q365" s="46" t="n">
        <v>39.3771</v>
      </c>
      <c r="R365" s="46" t="n">
        <v>-7.0702</v>
      </c>
      <c r="S365" s="47">
        <f>IF($I365="Yes",$O365,"")</f>
        <v/>
      </c>
    </row>
    <row r="366">
      <c r="A366" s="48" t="inlineStr">
        <is>
          <t>AMP</t>
        </is>
      </c>
      <c r="B366" s="49" t="inlineStr">
        <is>
          <t>Ameriprise Financial, Inc.</t>
        </is>
      </c>
      <c r="C366" s="49" t="inlineStr">
        <is>
          <t>US</t>
        </is>
      </c>
      <c r="D366" s="49" t="inlineStr">
        <is>
          <t>S&amp;P 500</t>
        </is>
      </c>
      <c r="E366" s="49" t="inlineStr">
        <is>
          <t>Financial Services</t>
        </is>
      </c>
      <c r="F366" s="50" t="n">
        <v>49491337216</v>
      </c>
      <c r="G366" s="49" t="inlineStr">
        <is>
          <t>nightly refresh</t>
        </is>
      </c>
      <c r="H366" s="48" t="n">
        <v>239</v>
      </c>
      <c r="I366" s="49" t="inlineStr">
        <is>
          <t>No</t>
        </is>
      </c>
      <c r="J366" s="49" t="inlineStr">
        <is>
          <t>2005-09-15</t>
        </is>
      </c>
      <c r="K366" s="48" t="n">
        <v>5268</v>
      </c>
      <c r="L366" s="49" t="inlineStr">
        <is>
          <t>2005-09-15</t>
        </is>
      </c>
      <c r="M366" s="49" t="inlineStr">
        <is>
          <t>2026-08-25</t>
        </is>
      </c>
      <c r="N366" s="48" t="n">
        <v>259</v>
      </c>
      <c r="O366" s="51" t="n">
        <v>-18.7839</v>
      </c>
      <c r="P366" s="51" t="n">
        <v>-79.5645</v>
      </c>
      <c r="Q366" s="51" t="n">
        <v>58.9535</v>
      </c>
      <c r="R366" s="51" t="n">
        <v>-2.1482</v>
      </c>
      <c r="S366" s="52">
        <f>IF($I366="Yes",$O366,"")</f>
        <v/>
      </c>
    </row>
    <row r="367">
      <c r="A367" s="43" t="inlineStr">
        <is>
          <t>AON</t>
        </is>
      </c>
      <c r="B367" s="44" t="inlineStr">
        <is>
          <t>Aon plc</t>
        </is>
      </c>
      <c r="C367" s="44" t="inlineStr">
        <is>
          <t>US</t>
        </is>
      </c>
      <c r="D367" s="44" t="inlineStr">
        <is>
          <t>S&amp;P 500</t>
        </is>
      </c>
      <c r="E367" s="44" t="inlineStr">
        <is>
          <t>Financial Services</t>
        </is>
      </c>
      <c r="F367" s="45" t="n">
        <v>75088166912</v>
      </c>
      <c r="G367" s="44" t="inlineStr">
        <is>
          <t>nightly refresh</t>
        </is>
      </c>
      <c r="H367" s="43" t="n">
        <v>175</v>
      </c>
      <c r="I367" s="44" t="inlineStr">
        <is>
          <t>No</t>
        </is>
      </c>
      <c r="J367" s="44" t="inlineStr">
        <is>
          <t>1980-06-02</t>
        </is>
      </c>
      <c r="K367" s="43" t="n">
        <v>6701</v>
      </c>
      <c r="L367" s="44" t="inlineStr">
        <is>
          <t>2000-01-03</t>
        </is>
      </c>
      <c r="M367" s="44" t="inlineStr">
        <is>
          <t>2026-08-25</t>
        </is>
      </c>
      <c r="N367" s="43" t="n">
        <v>312</v>
      </c>
      <c r="O367" s="46" t="n">
        <v>-17.1625</v>
      </c>
      <c r="P367" s="46" t="n">
        <v>-66.47029999999999</v>
      </c>
      <c r="Q367" s="46" t="n">
        <v>36.9481</v>
      </c>
      <c r="R367" s="46" t="n">
        <v>-6.9836</v>
      </c>
      <c r="S367" s="47">
        <f>IF($I367="Yes",$O367,"")</f>
        <v/>
      </c>
    </row>
    <row r="368">
      <c r="A368" s="48" t="inlineStr">
        <is>
          <t>APO</t>
        </is>
      </c>
      <c r="B368" s="49" t="inlineStr">
        <is>
          <t>Apollo Global Management, Inc.</t>
        </is>
      </c>
      <c r="C368" s="49" t="inlineStr">
        <is>
          <t>US</t>
        </is>
      </c>
      <c r="D368" s="49" t="inlineStr">
        <is>
          <t>S&amp;P 500</t>
        </is>
      </c>
      <c r="E368" s="49" t="inlineStr">
        <is>
          <t>Financial Services</t>
        </is>
      </c>
      <c r="F368" s="50" t="n">
        <v>78937907200</v>
      </c>
      <c r="G368" s="49" t="inlineStr">
        <is>
          <t>nightly refresh</t>
        </is>
      </c>
      <c r="H368" s="48" t="n">
        <v>167</v>
      </c>
      <c r="I368" s="49" t="inlineStr">
        <is>
          <t>No</t>
        </is>
      </c>
      <c r="J368" s="49" t="inlineStr">
        <is>
          <t>2011-03-30</t>
        </is>
      </c>
      <c r="K368" s="48" t="n">
        <v>3874</v>
      </c>
      <c r="L368" s="49" t="inlineStr">
        <is>
          <t>2011-03-30</t>
        </is>
      </c>
      <c r="M368" s="49" t="inlineStr">
        <is>
          <t>2026-08-25</t>
        </is>
      </c>
      <c r="N368" s="48" t="n">
        <v>210</v>
      </c>
      <c r="O368" s="51" t="n">
        <v>-20.4703</v>
      </c>
      <c r="P368" s="51" t="n">
        <v>-53.9476</v>
      </c>
      <c r="Q368" s="51" t="n">
        <v>70.1063</v>
      </c>
      <c r="R368" s="51" t="n">
        <v>-12.3962</v>
      </c>
      <c r="S368" s="52">
        <f>IF($I368="Yes",$O368,"")</f>
        <v/>
      </c>
    </row>
    <row r="369">
      <c r="A369" s="43" t="inlineStr">
        <is>
          <t>ARES</t>
        </is>
      </c>
      <c r="B369" s="44" t="inlineStr">
        <is>
          <t>Ares Management Corporation</t>
        </is>
      </c>
      <c r="C369" s="44" t="inlineStr">
        <is>
          <t>US</t>
        </is>
      </c>
      <c r="D369" s="44" t="inlineStr">
        <is>
          <t>S&amp;P 500</t>
        </is>
      </c>
      <c r="E369" s="44" t="inlineStr">
        <is>
          <t>Financial Services</t>
        </is>
      </c>
      <c r="F369" s="45" t="n">
        <v>46831624192</v>
      </c>
      <c r="G369" s="44" t="inlineStr">
        <is>
          <t>nightly refresh</t>
        </is>
      </c>
      <c r="H369" s="43" t="n">
        <v>252</v>
      </c>
      <c r="I369" s="44" t="inlineStr">
        <is>
          <t>No</t>
        </is>
      </c>
      <c r="J369" s="44" t="inlineStr">
        <is>
          <t>2014-05-02</t>
        </is>
      </c>
      <c r="K369" s="43" t="n">
        <v>3097</v>
      </c>
      <c r="L369" s="44" t="inlineStr">
        <is>
          <t>2014-05-02</t>
        </is>
      </c>
      <c r="M369" s="44" t="inlineStr">
        <is>
          <t>2026-08-25</t>
        </is>
      </c>
      <c r="N369" s="43" t="n">
        <v>163</v>
      </c>
      <c r="O369" s="46" t="n">
        <v>-18.3158</v>
      </c>
      <c r="P369" s="46" t="n">
        <v>-49.9462</v>
      </c>
      <c r="Q369" s="46" t="n">
        <v>62.3037</v>
      </c>
      <c r="R369" s="46" t="n">
        <v>-21.2682</v>
      </c>
      <c r="S369" s="47">
        <f>IF($I369="Yes",$O369,"")</f>
        <v/>
      </c>
    </row>
    <row r="370">
      <c r="A370" s="48" t="inlineStr">
        <is>
          <t>AXP</t>
        </is>
      </c>
      <c r="B370" s="49" t="inlineStr">
        <is>
          <t>American Express Company</t>
        </is>
      </c>
      <c r="C370" s="49" t="inlineStr">
        <is>
          <t>US</t>
        </is>
      </c>
      <c r="D370" s="49" t="inlineStr">
        <is>
          <t>S&amp;P 500</t>
        </is>
      </c>
      <c r="E370" s="49" t="inlineStr">
        <is>
          <t>Financial Services</t>
        </is>
      </c>
      <c r="F370" s="50" t="n">
        <v>227005399040</v>
      </c>
      <c r="G370" s="49" t="inlineStr">
        <is>
          <t>nightly refresh</t>
        </is>
      </c>
      <c r="H370" s="48" t="n">
        <v>51</v>
      </c>
      <c r="I370" s="49" t="inlineStr">
        <is>
          <t>Yes</t>
        </is>
      </c>
      <c r="J370" s="49" t="inlineStr">
        <is>
          <t>1972-06-01</t>
        </is>
      </c>
      <c r="K370" s="48" t="n">
        <v>6701</v>
      </c>
      <c r="L370" s="49" t="inlineStr">
        <is>
          <t>2000-01-03</t>
        </is>
      </c>
      <c r="M370" s="49" t="inlineStr">
        <is>
          <t>2026-08-25</t>
        </is>
      </c>
      <c r="N370" s="48" t="n">
        <v>323</v>
      </c>
      <c r="O370" s="51" t="n">
        <v>-19.2162</v>
      </c>
      <c r="P370" s="51" t="n">
        <v>-80.151</v>
      </c>
      <c r="Q370" s="51" t="n">
        <v>49.1565</v>
      </c>
      <c r="R370" s="51" t="n">
        <v>-12.8337</v>
      </c>
      <c r="S370" s="52">
        <f>IF($I370="Yes",$O370,"")</f>
        <v/>
      </c>
    </row>
    <row r="371">
      <c r="A371" s="43" t="inlineStr">
        <is>
          <t>BAC</t>
        </is>
      </c>
      <c r="B371" s="44" t="inlineStr">
        <is>
          <t>Bank of America Corporation</t>
        </is>
      </c>
      <c r="C371" s="44" t="inlineStr">
        <is>
          <t>US</t>
        </is>
      </c>
      <c r="D371" s="44" t="inlineStr">
        <is>
          <t>S&amp;P 500</t>
        </is>
      </c>
      <c r="E371" s="44" t="inlineStr">
        <is>
          <t>Financial Services</t>
        </is>
      </c>
      <c r="F371" s="45" t="n">
        <v>435158745088</v>
      </c>
      <c r="G371" s="44" t="inlineStr">
        <is>
          <t>nightly refresh</t>
        </is>
      </c>
      <c r="H371" s="43" t="n">
        <v>23</v>
      </c>
      <c r="I371" s="44" t="inlineStr">
        <is>
          <t>Yes</t>
        </is>
      </c>
      <c r="J371" s="44" t="inlineStr">
        <is>
          <t>1973-02-21</t>
        </is>
      </c>
      <c r="K371" s="43" t="n">
        <v>6701</v>
      </c>
      <c r="L371" s="44" t="inlineStr">
        <is>
          <t>2000-01-03</t>
        </is>
      </c>
      <c r="M371" s="44" t="inlineStr">
        <is>
          <t>2026-08-25</t>
        </is>
      </c>
      <c r="N371" s="43" t="n">
        <v>321</v>
      </c>
      <c r="O371" s="46" t="n">
        <v>-22.3473</v>
      </c>
      <c r="P371" s="46" t="n">
        <v>-92.2938</v>
      </c>
      <c r="Q371" s="46" t="n">
        <v>60.3077</v>
      </c>
      <c r="R371" s="46" t="n">
        <v>-4.2925</v>
      </c>
      <c r="S371" s="47">
        <f>IF($I371="Yes",$O371,"")</f>
        <v/>
      </c>
    </row>
    <row r="372">
      <c r="A372" s="48" t="inlineStr">
        <is>
          <t>BEN</t>
        </is>
      </c>
      <c r="B372" s="49" t="inlineStr">
        <is>
          <t>Franklin Templeton Inc.</t>
        </is>
      </c>
      <c r="C372" s="49" t="inlineStr">
        <is>
          <t>US</t>
        </is>
      </c>
      <c r="D372" s="49" t="inlineStr">
        <is>
          <t>S&amp;P 500</t>
        </is>
      </c>
      <c r="E372" s="49" t="inlineStr">
        <is>
          <t>Financial Services</t>
        </is>
      </c>
      <c r="F372" s="50" t="n">
        <v>17787770880</v>
      </c>
      <c r="G372" s="49" t="inlineStr">
        <is>
          <t>nightly refresh</t>
        </is>
      </c>
      <c r="H372" s="48" t="n">
        <v>418</v>
      </c>
      <c r="I372" s="49" t="inlineStr">
        <is>
          <t>No</t>
        </is>
      </c>
      <c r="J372" s="49" t="inlineStr">
        <is>
          <t>1983-09-23</t>
        </is>
      </c>
      <c r="K372" s="48" t="n">
        <v>6701</v>
      </c>
      <c r="L372" s="49" t="inlineStr">
        <is>
          <t>2000-01-03</t>
        </is>
      </c>
      <c r="M372" s="49" t="inlineStr">
        <is>
          <t>2026-08-25</t>
        </is>
      </c>
      <c r="N372" s="48" t="n">
        <v>358</v>
      </c>
      <c r="O372" s="51" t="n">
        <v>-20.7833</v>
      </c>
      <c r="P372" s="51" t="n">
        <v>-64.3292</v>
      </c>
      <c r="Q372" s="51" t="n">
        <v>42.5964</v>
      </c>
      <c r="R372" s="51" t="n">
        <v>-3.4454</v>
      </c>
      <c r="S372" s="52">
        <f>IF($I372="Yes",$O372,"")</f>
        <v/>
      </c>
    </row>
    <row r="373">
      <c r="A373" s="43" t="inlineStr">
        <is>
          <t>BLK</t>
        </is>
      </c>
      <c r="B373" s="44" t="inlineStr">
        <is>
          <t>BlackRock, Inc.</t>
        </is>
      </c>
      <c r="C373" s="44" t="inlineStr">
        <is>
          <t>US</t>
        </is>
      </c>
      <c r="D373" s="44" t="inlineStr">
        <is>
          <t>S&amp;P 500</t>
        </is>
      </c>
      <c r="E373" s="44" t="inlineStr">
        <is>
          <t>Financial Services</t>
        </is>
      </c>
      <c r="F373" s="45" t="n">
        <v>190618681344</v>
      </c>
      <c r="G373" s="44" t="inlineStr">
        <is>
          <t>nightly refresh</t>
        </is>
      </c>
      <c r="H373" s="43" t="n">
        <v>65</v>
      </c>
      <c r="I373" s="44" t="inlineStr">
        <is>
          <t>No</t>
        </is>
      </c>
      <c r="J373" s="44" t="inlineStr">
        <is>
          <t>1999-10-01</t>
        </is>
      </c>
      <c r="K373" s="43" t="n">
        <v>6701</v>
      </c>
      <c r="L373" s="44" t="inlineStr">
        <is>
          <t>2000-01-03</t>
        </is>
      </c>
      <c r="M373" s="44" t="inlineStr">
        <is>
          <t>2026-08-25</t>
        </is>
      </c>
      <c r="N373" s="43" t="n">
        <v>346</v>
      </c>
      <c r="O373" s="46" t="n">
        <v>-16.8421</v>
      </c>
      <c r="P373" s="46" t="n">
        <v>-63.4537</v>
      </c>
      <c r="Q373" s="46" t="n">
        <v>50.6633</v>
      </c>
      <c r="R373" s="46" t="n">
        <v>-1.9911</v>
      </c>
      <c r="S373" s="47">
        <f>IF($I373="Yes",$O373,"")</f>
        <v/>
      </c>
    </row>
    <row r="374">
      <c r="A374" s="48" t="inlineStr">
        <is>
          <t>BNY</t>
        </is>
      </c>
      <c r="B374" s="49" t="inlineStr">
        <is>
          <t>The Bank of New York Mellon Corporation</t>
        </is>
      </c>
      <c r="C374" s="49" t="inlineStr">
        <is>
          <t>US</t>
        </is>
      </c>
      <c r="D374" s="49" t="inlineStr">
        <is>
          <t>S&amp;P 500</t>
        </is>
      </c>
      <c r="E374" s="49" t="inlineStr">
        <is>
          <t>Financial Services</t>
        </is>
      </c>
      <c r="F374" s="50" t="n">
        <v>110650458112</v>
      </c>
      <c r="G374" s="49" t="inlineStr">
        <is>
          <t>nightly refresh</t>
        </is>
      </c>
      <c r="H374" s="48" t="n">
        <v>112</v>
      </c>
      <c r="I374" s="49" t="inlineStr">
        <is>
          <t>No</t>
        </is>
      </c>
      <c r="J374" s="49" t="inlineStr">
        <is>
          <t>1973-05-03</t>
        </is>
      </c>
      <c r="K374" s="48" t="n">
        <v>6701</v>
      </c>
      <c r="L374" s="49" t="inlineStr">
        <is>
          <t>2000-01-03</t>
        </is>
      </c>
      <c r="M374" s="49" t="inlineStr">
        <is>
          <t>2026-08-25</t>
        </is>
      </c>
      <c r="N374" s="48" t="n">
        <v>328</v>
      </c>
      <c r="O374" s="51" t="n">
        <v>-19.4873</v>
      </c>
      <c r="P374" s="51" t="n">
        <v>-60.7023</v>
      </c>
      <c r="Q374" s="51" t="n">
        <v>40.6992</v>
      </c>
      <c r="R374" s="51" t="n">
        <v>-1.2312</v>
      </c>
      <c r="S374" s="52">
        <f>IF($I374="Yes",$O374,"")</f>
        <v/>
      </c>
    </row>
    <row r="375">
      <c r="A375" s="43" t="inlineStr">
        <is>
          <t>BRK-B</t>
        </is>
      </c>
      <c r="B375" s="44" t="inlineStr">
        <is>
          <t>Berkshire Hathaway Inc.</t>
        </is>
      </c>
      <c r="C375" s="44" t="inlineStr">
        <is>
          <t>US</t>
        </is>
      </c>
      <c r="D375" s="44" t="inlineStr">
        <is>
          <t>S&amp;P 500</t>
        </is>
      </c>
      <c r="E375" s="44" t="inlineStr">
        <is>
          <t>Financial Services</t>
        </is>
      </c>
      <c r="F375" s="45" t="n">
        <v>1080865783808</v>
      </c>
      <c r="G375" s="44" t="inlineStr">
        <is>
          <t>nightly refresh</t>
        </is>
      </c>
      <c r="H375" s="43" t="n">
        <v>10</v>
      </c>
      <c r="I375" s="44" t="inlineStr">
        <is>
          <t>Yes</t>
        </is>
      </c>
      <c r="J375" s="44" t="inlineStr">
        <is>
          <t>1996-05-09</t>
        </is>
      </c>
      <c r="K375" s="43" t="n">
        <v>6701</v>
      </c>
      <c r="L375" s="44" t="inlineStr">
        <is>
          <t>2000-01-03</t>
        </is>
      </c>
      <c r="M375" s="44" t="inlineStr">
        <is>
          <t>2026-08-25</t>
        </is>
      </c>
      <c r="N375" s="43" t="n">
        <v>294</v>
      </c>
      <c r="O375" s="46" t="n">
        <v>-12.9519</v>
      </c>
      <c r="P375" s="46" t="n">
        <v>-51.0638</v>
      </c>
      <c r="Q375" s="46" t="n">
        <v>27.7134</v>
      </c>
      <c r="R375" s="46" t="n">
        <v>-6.2149</v>
      </c>
      <c r="S375" s="47">
        <f>IF($I375="Yes",$O375,"")</f>
        <v/>
      </c>
    </row>
    <row r="376">
      <c r="A376" s="48" t="inlineStr">
        <is>
          <t>BRO</t>
        </is>
      </c>
      <c r="B376" s="49" t="inlineStr">
        <is>
          <t>Brown &amp; Brown, Inc.</t>
        </is>
      </c>
      <c r="C376" s="49" t="inlineStr">
        <is>
          <t>US</t>
        </is>
      </c>
      <c r="D376" s="49" t="inlineStr">
        <is>
          <t>S&amp;P 500</t>
        </is>
      </c>
      <c r="E376" s="49" t="inlineStr">
        <is>
          <t>Financial Services</t>
        </is>
      </c>
      <c r="F376" s="50" t="n">
        <v>24352942080</v>
      </c>
      <c r="G376" s="49" t="inlineStr">
        <is>
          <t>nightly refresh</t>
        </is>
      </c>
      <c r="H376" s="48" t="n">
        <v>371</v>
      </c>
      <c r="I376" s="49" t="inlineStr">
        <is>
          <t>No</t>
        </is>
      </c>
      <c r="J376" s="49" t="inlineStr">
        <is>
          <t>1981-02-11</t>
        </is>
      </c>
      <c r="K376" s="48" t="n">
        <v>6701</v>
      </c>
      <c r="L376" s="49" t="inlineStr">
        <is>
          <t>2000-01-03</t>
        </is>
      </c>
      <c r="M376" s="49" t="inlineStr">
        <is>
          <t>2026-08-25</t>
        </is>
      </c>
      <c r="N376" s="48" t="n">
        <v>304</v>
      </c>
      <c r="O376" s="51" t="n">
        <v>-16.7442</v>
      </c>
      <c r="P376" s="51" t="n">
        <v>-51.8043</v>
      </c>
      <c r="Q376" s="51" t="n">
        <v>37.3414</v>
      </c>
      <c r="R376" s="51" t="n">
        <v>-24.4057</v>
      </c>
      <c r="S376" s="52">
        <f>IF($I376="Yes",$O376,"")</f>
        <v/>
      </c>
    </row>
    <row r="377">
      <c r="A377" s="43" t="inlineStr">
        <is>
          <t>BX</t>
        </is>
      </c>
      <c r="B377" s="44" t="inlineStr">
        <is>
          <t>Blackstone Inc.</t>
        </is>
      </c>
      <c r="C377" s="44" t="inlineStr">
        <is>
          <t>US</t>
        </is>
      </c>
      <c r="D377" s="44" t="inlineStr">
        <is>
          <t>S&amp;P 500</t>
        </is>
      </c>
      <c r="E377" s="44" t="inlineStr">
        <is>
          <t>Financial Services</t>
        </is>
      </c>
      <c r="F377" s="45" t="n">
        <v>171166646272</v>
      </c>
      <c r="G377" s="44" t="inlineStr">
        <is>
          <t>nightly refresh</t>
        </is>
      </c>
      <c r="H377" s="43" t="n">
        <v>77</v>
      </c>
      <c r="I377" s="44" t="inlineStr">
        <is>
          <t>No</t>
        </is>
      </c>
      <c r="J377" s="44" t="inlineStr">
        <is>
          <t>2007-06-22</t>
        </is>
      </c>
      <c r="K377" s="43" t="n">
        <v>4824</v>
      </c>
      <c r="L377" s="44" t="inlineStr">
        <is>
          <t>2007-06-22</t>
        </is>
      </c>
      <c r="M377" s="44" t="inlineStr">
        <is>
          <t>2026-08-25</t>
        </is>
      </c>
      <c r="N377" s="43" t="n">
        <v>284</v>
      </c>
      <c r="O377" s="46" t="n">
        <v>-24.5393</v>
      </c>
      <c r="P377" s="46" t="n">
        <v>-79.9906</v>
      </c>
      <c r="Q377" s="46" t="n">
        <v>66.9564</v>
      </c>
      <c r="R377" s="46" t="n">
        <v>-22.2891</v>
      </c>
      <c r="S377" s="47">
        <f>IF($I377="Yes",$O377,"")</f>
        <v/>
      </c>
    </row>
    <row r="378">
      <c r="A378" s="48" t="inlineStr">
        <is>
          <t>C</t>
        </is>
      </c>
      <c r="B378" s="49" t="inlineStr">
        <is>
          <t>Citigroup Inc.</t>
        </is>
      </c>
      <c r="C378" s="49" t="inlineStr">
        <is>
          <t>US</t>
        </is>
      </c>
      <c r="D378" s="49" t="inlineStr">
        <is>
          <t>S&amp;P 500</t>
        </is>
      </c>
      <c r="E378" s="49" t="inlineStr">
        <is>
          <t>Financial Services</t>
        </is>
      </c>
      <c r="F378" s="50" t="n">
        <v>224038453248</v>
      </c>
      <c r="G378" s="49" t="inlineStr">
        <is>
          <t>nightly refresh</t>
        </is>
      </c>
      <c r="H378" s="48" t="n">
        <v>53</v>
      </c>
      <c r="I378" s="49" t="inlineStr">
        <is>
          <t>Yes</t>
        </is>
      </c>
      <c r="J378" s="49" t="inlineStr">
        <is>
          <t>1977-01-03</t>
        </is>
      </c>
      <c r="K378" s="48" t="n">
        <v>6701</v>
      </c>
      <c r="L378" s="49" t="inlineStr">
        <is>
          <t>2000-01-03</t>
        </is>
      </c>
      <c r="M378" s="49" t="inlineStr">
        <is>
          <t>2026-08-25</t>
        </is>
      </c>
      <c r="N378" s="48" t="n">
        <v>338</v>
      </c>
      <c r="O378" s="51" t="n">
        <v>-24.2313</v>
      </c>
      <c r="P378" s="51" t="n">
        <v>-96.09990000000001</v>
      </c>
      <c r="Q378" s="51" t="n">
        <v>52.9871</v>
      </c>
      <c r="R378" s="51" t="n">
        <v>-9.9419</v>
      </c>
      <c r="S378" s="52">
        <f>IF($I378="Yes",$O378,"")</f>
        <v/>
      </c>
    </row>
    <row r="379">
      <c r="A379" s="43" t="inlineStr">
        <is>
          <t>CB</t>
        </is>
      </c>
      <c r="B379" s="44" t="inlineStr">
        <is>
          <t>Chubb Limited</t>
        </is>
      </c>
      <c r="C379" s="44" t="inlineStr">
        <is>
          <t>US</t>
        </is>
      </c>
      <c r="D379" s="44" t="inlineStr">
        <is>
          <t>S&amp;P 500</t>
        </is>
      </c>
      <c r="E379" s="44" t="inlineStr">
        <is>
          <t>Financial Services</t>
        </is>
      </c>
      <c r="F379" s="45" t="n">
        <v>132626415616</v>
      </c>
      <c r="G379" s="44" t="inlineStr">
        <is>
          <t>nightly refresh</t>
        </is>
      </c>
      <c r="H379" s="43" t="n">
        <v>94</v>
      </c>
      <c r="I379" s="44" t="inlineStr">
        <is>
          <t>No</t>
        </is>
      </c>
      <c r="J379" s="44" t="inlineStr">
        <is>
          <t>1993-03-25</t>
        </is>
      </c>
      <c r="K379" s="43" t="n">
        <v>6701</v>
      </c>
      <c r="L379" s="44" t="inlineStr">
        <is>
          <t>2000-01-03</t>
        </is>
      </c>
      <c r="M379" s="44" t="inlineStr">
        <is>
          <t>2026-08-25</t>
        </is>
      </c>
      <c r="N379" s="43" t="n">
        <v>314</v>
      </c>
      <c r="O379" s="46" t="n">
        <v>-13.9848</v>
      </c>
      <c r="P379" s="46" t="n">
        <v>-52.9754</v>
      </c>
      <c r="Q379" s="46" t="n">
        <v>42.8267</v>
      </c>
      <c r="R379" s="46" t="n">
        <v>-6.231</v>
      </c>
      <c r="S379" s="47">
        <f>IF($I379="Yes",$O379,"")</f>
        <v/>
      </c>
    </row>
    <row r="380">
      <c r="A380" s="48" t="inlineStr">
        <is>
          <t>CBOE</t>
        </is>
      </c>
      <c r="B380" s="49" t="inlineStr">
        <is>
          <t>Cboe Global Markets, Inc.</t>
        </is>
      </c>
      <c r="C380" s="49" t="inlineStr">
        <is>
          <t>US</t>
        </is>
      </c>
      <c r="D380" s="49" t="inlineStr">
        <is>
          <t>S&amp;P 500</t>
        </is>
      </c>
      <c r="E380" s="49" t="inlineStr">
        <is>
          <t>Financial Services</t>
        </is>
      </c>
      <c r="F380" s="50" t="n">
        <v>32602318848</v>
      </c>
      <c r="G380" s="49" t="inlineStr">
        <is>
          <t>nightly refresh</t>
        </is>
      </c>
      <c r="H380" s="48" t="n">
        <v>308</v>
      </c>
      <c r="I380" s="49" t="inlineStr">
        <is>
          <t>No</t>
        </is>
      </c>
      <c r="J380" s="49" t="inlineStr">
        <is>
          <t>2010-06-15</t>
        </is>
      </c>
      <c r="K380" s="48" t="n">
        <v>4074</v>
      </c>
      <c r="L380" s="49" t="inlineStr">
        <is>
          <t>2010-06-15</t>
        </is>
      </c>
      <c r="M380" s="49" t="inlineStr">
        <is>
          <t>2026-08-25</t>
        </is>
      </c>
      <c r="N380" s="48" t="n">
        <v>195</v>
      </c>
      <c r="O380" s="51" t="n">
        <v>-15.5068</v>
      </c>
      <c r="P380" s="51" t="n">
        <v>-40.6171</v>
      </c>
      <c r="Q380" s="51" t="n">
        <v>37.4032</v>
      </c>
      <c r="R380" s="51" t="n">
        <v>-16.6261</v>
      </c>
      <c r="S380" s="52">
        <f>IF($I380="Yes",$O380,"")</f>
        <v/>
      </c>
    </row>
    <row r="381">
      <c r="A381" s="43" t="inlineStr">
        <is>
          <t>CFG</t>
        </is>
      </c>
      <c r="B381" s="44" t="inlineStr">
        <is>
          <t>Citizens Financial Group, Inc.</t>
        </is>
      </c>
      <c r="C381" s="44" t="inlineStr">
        <is>
          <t>US</t>
        </is>
      </c>
      <c r="D381" s="44" t="inlineStr">
        <is>
          <t>S&amp;P 500</t>
        </is>
      </c>
      <c r="E381" s="44" t="inlineStr">
        <is>
          <t>Financial Services</t>
        </is>
      </c>
      <c r="F381" s="45" t="n">
        <v>29688752128</v>
      </c>
      <c r="G381" s="44" t="inlineStr">
        <is>
          <t>nightly refresh</t>
        </is>
      </c>
      <c r="H381" s="43" t="n">
        <v>320</v>
      </c>
      <c r="I381" s="44" t="inlineStr">
        <is>
          <t>No</t>
        </is>
      </c>
      <c r="J381" s="44" t="inlineStr">
        <is>
          <t>2014-09-24</t>
        </is>
      </c>
      <c r="K381" s="43" t="n">
        <v>2997</v>
      </c>
      <c r="L381" s="44" t="inlineStr">
        <is>
          <t>2014-09-24</t>
        </is>
      </c>
      <c r="M381" s="44" t="inlineStr">
        <is>
          <t>2026-08-25</t>
        </is>
      </c>
      <c r="N381" s="43" t="n">
        <v>157</v>
      </c>
      <c r="O381" s="46" t="n">
        <v>-21.1181</v>
      </c>
      <c r="P381" s="46" t="n">
        <v>-62.5129</v>
      </c>
      <c r="Q381" s="46" t="n">
        <v>56.6504</v>
      </c>
      <c r="R381" s="46" t="n">
        <v>-7.3012</v>
      </c>
      <c r="S381" s="47">
        <f>IF($I381="Yes",$O381,"")</f>
        <v/>
      </c>
    </row>
    <row r="382">
      <c r="A382" s="48" t="inlineStr">
        <is>
          <t>CINF</t>
        </is>
      </c>
      <c r="B382" s="49" t="inlineStr">
        <is>
          <t>Cincinnati Financial Corporation</t>
        </is>
      </c>
      <c r="C382" s="49" t="inlineStr">
        <is>
          <t>US</t>
        </is>
      </c>
      <c r="D382" s="49" t="inlineStr">
        <is>
          <t>S&amp;P 500</t>
        </is>
      </c>
      <c r="E382" s="49" t="inlineStr">
        <is>
          <t>Financial Services</t>
        </is>
      </c>
      <c r="F382" s="50" t="n">
        <v>26456547328</v>
      </c>
      <c r="G382" s="49" t="inlineStr">
        <is>
          <t>nightly refresh</t>
        </is>
      </c>
      <c r="H382" s="48" t="n">
        <v>347</v>
      </c>
      <c r="I382" s="49" t="inlineStr">
        <is>
          <t>No</t>
        </is>
      </c>
      <c r="J382" s="49" t="inlineStr">
        <is>
          <t>1980-03-17</t>
        </is>
      </c>
      <c r="K382" s="48" t="n">
        <v>6701</v>
      </c>
      <c r="L382" s="49" t="inlineStr">
        <is>
          <t>2000-01-03</t>
        </is>
      </c>
      <c r="M382" s="49" t="inlineStr">
        <is>
          <t>2026-08-25</t>
        </is>
      </c>
      <c r="N382" s="48" t="n">
        <v>313</v>
      </c>
      <c r="O382" s="51" t="n">
        <v>-16.0085</v>
      </c>
      <c r="P382" s="51" t="n">
        <v>-58.3936</v>
      </c>
      <c r="Q382" s="51" t="n">
        <v>33.3455</v>
      </c>
      <c r="R382" s="51" t="n">
        <v>-12.0066</v>
      </c>
      <c r="S382" s="52">
        <f>IF($I382="Yes",$O382,"")</f>
        <v/>
      </c>
    </row>
    <row r="383">
      <c r="A383" s="43" t="inlineStr">
        <is>
          <t>CME</t>
        </is>
      </c>
      <c r="B383" s="44" t="inlineStr">
        <is>
          <t>CME Group Inc.</t>
        </is>
      </c>
      <c r="C383" s="44" t="inlineStr">
        <is>
          <t>US</t>
        </is>
      </c>
      <c r="D383" s="44" t="inlineStr">
        <is>
          <t>S&amp;P 500</t>
        </is>
      </c>
      <c r="E383" s="44" t="inlineStr">
        <is>
          <t>Financial Services</t>
        </is>
      </c>
      <c r="F383" s="45" t="n">
        <v>101034582016</v>
      </c>
      <c r="G383" s="44" t="inlineStr">
        <is>
          <t>nightly refresh</t>
        </is>
      </c>
      <c r="H383" s="43" t="n">
        <v>124</v>
      </c>
      <c r="I383" s="44" t="inlineStr">
        <is>
          <t>No</t>
        </is>
      </c>
      <c r="J383" s="44" t="inlineStr">
        <is>
          <t>2002-12-06</t>
        </is>
      </c>
      <c r="K383" s="43" t="n">
        <v>5966</v>
      </c>
      <c r="L383" s="44" t="inlineStr">
        <is>
          <t>2002-12-06</t>
        </is>
      </c>
      <c r="M383" s="44" t="inlineStr">
        <is>
          <t>2026-08-25</t>
        </is>
      </c>
      <c r="N383" s="43" t="n">
        <v>312</v>
      </c>
      <c r="O383" s="46" t="n">
        <v>-16.6236</v>
      </c>
      <c r="P383" s="46" t="n">
        <v>-77.61750000000001</v>
      </c>
      <c r="Q383" s="46" t="n">
        <v>50.7639</v>
      </c>
      <c r="R383" s="46" t="n">
        <v>-13.2878</v>
      </c>
      <c r="S383" s="47">
        <f>IF($I383="Yes",$O383,"")</f>
        <v/>
      </c>
    </row>
    <row r="384">
      <c r="A384" s="48" t="inlineStr">
        <is>
          <t>COF</t>
        </is>
      </c>
      <c r="B384" s="49" t="inlineStr">
        <is>
          <t>Capital One Financial Corporation</t>
        </is>
      </c>
      <c r="C384" s="49" t="inlineStr">
        <is>
          <t>US</t>
        </is>
      </c>
      <c r="D384" s="49" t="inlineStr">
        <is>
          <t>S&amp;P 500</t>
        </is>
      </c>
      <c r="E384" s="49" t="inlineStr">
        <is>
          <t>Financial Services</t>
        </is>
      </c>
      <c r="F384" s="50" t="n">
        <v>133255053312</v>
      </c>
      <c r="G384" s="49" t="inlineStr">
        <is>
          <t>nightly refresh</t>
        </is>
      </c>
      <c r="H384" s="48" t="n">
        <v>92</v>
      </c>
      <c r="I384" s="49" t="inlineStr">
        <is>
          <t>No</t>
        </is>
      </c>
      <c r="J384" s="49" t="inlineStr">
        <is>
          <t>1994-11-16</t>
        </is>
      </c>
      <c r="K384" s="48" t="n">
        <v>6701</v>
      </c>
      <c r="L384" s="49" t="inlineStr">
        <is>
          <t>2000-01-03</t>
        </is>
      </c>
      <c r="M384" s="49" t="inlineStr">
        <is>
          <t>2026-08-25</t>
        </is>
      </c>
      <c r="N384" s="48" t="n">
        <v>369</v>
      </c>
      <c r="O384" s="51" t="n">
        <v>-22.2926</v>
      </c>
      <c r="P384" s="51" t="n">
        <v>-86.4255</v>
      </c>
      <c r="Q384" s="51" t="n">
        <v>64.3172</v>
      </c>
      <c r="R384" s="51" t="n">
        <v>-16.0379</v>
      </c>
      <c r="S384" s="52">
        <f>IF($I384="Yes",$O384,"")</f>
        <v/>
      </c>
    </row>
    <row r="385">
      <c r="A385" s="43" t="inlineStr">
        <is>
          <t>COIN</t>
        </is>
      </c>
      <c r="B385" s="44" t="inlineStr">
        <is>
          <t>Coinbase Global, Inc.</t>
        </is>
      </c>
      <c r="C385" s="44" t="inlineStr">
        <is>
          <t>US</t>
        </is>
      </c>
      <c r="D385" s="44" t="inlineStr">
        <is>
          <t>S&amp;P 500</t>
        </is>
      </c>
      <c r="E385" s="44" t="inlineStr">
        <is>
          <t>Financial Services</t>
        </is>
      </c>
      <c r="F385" s="45" t="n">
        <v>47960276992</v>
      </c>
      <c r="G385" s="44" t="inlineStr">
        <is>
          <t>nightly refresh</t>
        </is>
      </c>
      <c r="H385" s="43" t="n">
        <v>246</v>
      </c>
      <c r="I385" s="44" t="inlineStr">
        <is>
          <t>No</t>
        </is>
      </c>
      <c r="J385" s="44" t="inlineStr">
        <is>
          <t>2021-04-14</t>
        </is>
      </c>
      <c r="K385" s="43" t="n">
        <v>1348</v>
      </c>
      <c r="L385" s="44" t="inlineStr">
        <is>
          <t>2021-04-14</t>
        </is>
      </c>
      <c r="M385" s="44" t="inlineStr">
        <is>
          <t>2026-08-25</t>
        </is>
      </c>
      <c r="N385" s="43" t="n">
        <v>85</v>
      </c>
      <c r="O385" s="46" t="n">
        <v>-48.6338</v>
      </c>
      <c r="P385" s="46" t="n">
        <v>-87.9511</v>
      </c>
      <c r="Q385" s="46" t="n">
        <v>130.4967</v>
      </c>
      <c r="R385" s="46" t="n">
        <v>-53.4613</v>
      </c>
      <c r="S385" s="47">
        <f>IF($I385="Yes",$O385,"")</f>
        <v/>
      </c>
    </row>
    <row r="386">
      <c r="A386" s="48" t="inlineStr">
        <is>
          <t>EG</t>
        </is>
      </c>
      <c r="B386" s="49" t="inlineStr">
        <is>
          <t>Everest Group, Ltd.</t>
        </is>
      </c>
      <c r="C386" s="49" t="inlineStr">
        <is>
          <t>US</t>
        </is>
      </c>
      <c r="D386" s="49" t="inlineStr">
        <is>
          <t>S&amp;P 500</t>
        </is>
      </c>
      <c r="E386" s="49" t="inlineStr">
        <is>
          <t>Financial Services</t>
        </is>
      </c>
      <c r="F386" s="50" t="n">
        <v>14561804288</v>
      </c>
      <c r="G386" s="49" t="inlineStr">
        <is>
          <t>nightly refresh</t>
        </is>
      </c>
      <c r="H386" s="48" t="n">
        <v>443</v>
      </c>
      <c r="I386" s="49" t="inlineStr">
        <is>
          <t>No</t>
        </is>
      </c>
      <c r="J386" s="49" t="inlineStr">
        <is>
          <t>1995-10-03</t>
        </is>
      </c>
      <c r="K386" s="48" t="n">
        <v>6701</v>
      </c>
      <c r="L386" s="49" t="inlineStr">
        <is>
          <t>2000-01-03</t>
        </is>
      </c>
      <c r="M386" s="49" t="inlineStr">
        <is>
          <t>2026-08-25</t>
        </is>
      </c>
      <c r="N386" s="48" t="n">
        <v>342</v>
      </c>
      <c r="O386" s="51" t="n">
        <v>-14.9572</v>
      </c>
      <c r="P386" s="51" t="n">
        <v>-45.5507</v>
      </c>
      <c r="Q386" s="51" t="n">
        <v>35.4473</v>
      </c>
      <c r="R386" s="51" t="n">
        <v>-6.4029</v>
      </c>
      <c r="S386" s="52">
        <f>IF($I386="Yes",$O386,"")</f>
        <v/>
      </c>
    </row>
    <row r="387">
      <c r="A387" s="43" t="inlineStr">
        <is>
          <t>ERIE</t>
        </is>
      </c>
      <c r="B387" s="44" t="inlineStr">
        <is>
          <t>Erie Indemnity Company</t>
        </is>
      </c>
      <c r="C387" s="44" t="inlineStr">
        <is>
          <t>US</t>
        </is>
      </c>
      <c r="D387" s="44" t="inlineStr">
        <is>
          <t>S&amp;P 500</t>
        </is>
      </c>
      <c r="E387" s="44" t="inlineStr">
        <is>
          <t>Financial Services</t>
        </is>
      </c>
      <c r="F387" s="45" t="n">
        <v>13452613632</v>
      </c>
      <c r="G387" s="44" t="inlineStr">
        <is>
          <t>nightly refresh</t>
        </is>
      </c>
      <c r="H387" s="43" t="n">
        <v>463</v>
      </c>
      <c r="I387" s="44" t="inlineStr">
        <is>
          <t>No</t>
        </is>
      </c>
      <c r="J387" s="44" t="inlineStr">
        <is>
          <t>1995-10-02</t>
        </is>
      </c>
      <c r="K387" s="43" t="n">
        <v>6701</v>
      </c>
      <c r="L387" s="44" t="inlineStr">
        <is>
          <t>2000-01-03</t>
        </is>
      </c>
      <c r="M387" s="44" t="inlineStr">
        <is>
          <t>2026-08-25</t>
        </is>
      </c>
      <c r="N387" s="43" t="n">
        <v>327</v>
      </c>
      <c r="O387" s="46" t="n">
        <v>-17.475</v>
      </c>
      <c r="P387" s="46" t="n">
        <v>-49.3987</v>
      </c>
      <c r="Q387" s="46" t="n">
        <v>36.8174</v>
      </c>
      <c r="R387" s="46" t="n">
        <v>-28.469</v>
      </c>
      <c r="S387" s="47">
        <f>IF($I387="Yes",$O387,"")</f>
        <v/>
      </c>
    </row>
    <row r="388">
      <c r="A388" s="48" t="inlineStr">
        <is>
          <t>FDS</t>
        </is>
      </c>
      <c r="B388" s="49" t="inlineStr">
        <is>
          <t>FactSet Research Systems Inc.</t>
        </is>
      </c>
      <c r="C388" s="49" t="inlineStr">
        <is>
          <t>US</t>
        </is>
      </c>
      <c r="D388" s="49" t="inlineStr">
        <is>
          <t>S&amp;P 500</t>
        </is>
      </c>
      <c r="E388" s="49" t="inlineStr">
        <is>
          <t>Financial Services</t>
        </is>
      </c>
      <c r="F388" s="50" t="n">
        <v>10507840512</v>
      </c>
      <c r="G388" s="49" t="inlineStr">
        <is>
          <t>nightly refresh</t>
        </is>
      </c>
      <c r="H388" s="48" t="n">
        <v>486</v>
      </c>
      <c r="I388" s="49" t="inlineStr">
        <is>
          <t>No</t>
        </is>
      </c>
      <c r="J388" s="49" t="inlineStr">
        <is>
          <t>1996-06-28</t>
        </is>
      </c>
      <c r="K388" s="48" t="n">
        <v>6701</v>
      </c>
      <c r="L388" s="49" t="inlineStr">
        <is>
          <t>2000-01-03</t>
        </is>
      </c>
      <c r="M388" s="49" t="inlineStr">
        <is>
          <t>2026-08-25</t>
        </is>
      </c>
      <c r="N388" s="48" t="n">
        <v>354</v>
      </c>
      <c r="O388" s="51" t="n">
        <v>-19.5788</v>
      </c>
      <c r="P388" s="51" t="n">
        <v>-61.1949</v>
      </c>
      <c r="Q388" s="51" t="n">
        <v>45.5283</v>
      </c>
      <c r="R388" s="51" t="n">
        <v>-22.0915</v>
      </c>
      <c r="S388" s="52">
        <f>IF($I388="Yes",$O388,"")</f>
        <v/>
      </c>
    </row>
    <row r="389">
      <c r="A389" s="43" t="inlineStr">
        <is>
          <t>FITB</t>
        </is>
      </c>
      <c r="B389" s="44" t="inlineStr">
        <is>
          <t>Fifth Third Bancorp</t>
        </is>
      </c>
      <c r="C389" s="44" t="inlineStr">
        <is>
          <t>US</t>
        </is>
      </c>
      <c r="D389" s="44" t="inlineStr">
        <is>
          <t>S&amp;P 500</t>
        </is>
      </c>
      <c r="E389" s="44" t="inlineStr">
        <is>
          <t>Financial Services</t>
        </is>
      </c>
      <c r="F389" s="45" t="n">
        <v>49969778688</v>
      </c>
      <c r="G389" s="44" t="inlineStr">
        <is>
          <t>nightly refresh</t>
        </is>
      </c>
      <c r="H389" s="43" t="n">
        <v>237</v>
      </c>
      <c r="I389" s="44" t="inlineStr">
        <is>
          <t>No</t>
        </is>
      </c>
      <c r="J389" s="44" t="inlineStr">
        <is>
          <t>1980-03-17</t>
        </is>
      </c>
      <c r="K389" s="43" t="n">
        <v>6701</v>
      </c>
      <c r="L389" s="44" t="inlineStr">
        <is>
          <t>2000-01-03</t>
        </is>
      </c>
      <c r="M389" s="44" t="inlineStr">
        <is>
          <t>2026-08-25</t>
        </is>
      </c>
      <c r="N389" s="43" t="n">
        <v>359</v>
      </c>
      <c r="O389" s="46" t="n">
        <v>-21.4234</v>
      </c>
      <c r="P389" s="46" t="n">
        <v>-95.7705</v>
      </c>
      <c r="Q389" s="46" t="n">
        <v>80.99760000000001</v>
      </c>
      <c r="R389" s="46" t="n">
        <v>-7.7479</v>
      </c>
      <c r="S389" s="47">
        <f>IF($I389="Yes",$O389,"")</f>
        <v/>
      </c>
    </row>
    <row r="390">
      <c r="A390" s="48" t="inlineStr">
        <is>
          <t>GL</t>
        </is>
      </c>
      <c r="B390" s="49" t="inlineStr">
        <is>
          <t>Globe Life Inc.</t>
        </is>
      </c>
      <c r="C390" s="49" t="inlineStr">
        <is>
          <t>US</t>
        </is>
      </c>
      <c r="D390" s="49" t="inlineStr">
        <is>
          <t>S&amp;P 500</t>
        </is>
      </c>
      <c r="E390" s="49" t="inlineStr">
        <is>
          <t>Financial Services</t>
        </is>
      </c>
      <c r="F390" s="50" t="n">
        <v>13490920448</v>
      </c>
      <c r="G390" s="49" t="inlineStr">
        <is>
          <t>nightly refresh</t>
        </is>
      </c>
      <c r="H390" s="48" t="n">
        <v>462</v>
      </c>
      <c r="I390" s="49" t="inlineStr">
        <is>
          <t>No</t>
        </is>
      </c>
      <c r="J390" s="49" t="inlineStr">
        <is>
          <t>1980-10-01</t>
        </is>
      </c>
      <c r="K390" s="48" t="n">
        <v>6701</v>
      </c>
      <c r="L390" s="49" t="inlineStr">
        <is>
          <t>2000-01-03</t>
        </is>
      </c>
      <c r="M390" s="49" t="inlineStr">
        <is>
          <t>2026-08-25</t>
        </is>
      </c>
      <c r="N390" s="48" t="n">
        <v>292</v>
      </c>
      <c r="O390" s="51" t="n">
        <v>-14.8899</v>
      </c>
      <c r="P390" s="51" t="n">
        <v>-73.9419</v>
      </c>
      <c r="Q390" s="51" t="n">
        <v>42.8363</v>
      </c>
      <c r="R390" s="51" t="n">
        <v>-10.0809</v>
      </c>
      <c r="S390" s="52">
        <f>IF($I390="Yes",$O390,"")</f>
        <v/>
      </c>
    </row>
    <row r="391">
      <c r="A391" s="43" t="inlineStr">
        <is>
          <t>GS</t>
        </is>
      </c>
      <c r="B391" s="44" t="inlineStr">
        <is>
          <t>The Goldman Sachs Group, Inc.</t>
        </is>
      </c>
      <c r="C391" s="44" t="inlineStr">
        <is>
          <t>US</t>
        </is>
      </c>
      <c r="D391" s="44" t="inlineStr">
        <is>
          <t>S&amp;P 500</t>
        </is>
      </c>
      <c r="E391" s="44" t="inlineStr">
        <is>
          <t>Financial Services</t>
        </is>
      </c>
      <c r="F391" s="45" t="n">
        <v>302952185856</v>
      </c>
      <c r="G391" s="44" t="inlineStr">
        <is>
          <t>nightly refresh</t>
        </is>
      </c>
      <c r="H391" s="43" t="n">
        <v>39</v>
      </c>
      <c r="I391" s="44" t="inlineStr">
        <is>
          <t>Yes</t>
        </is>
      </c>
      <c r="J391" s="44" t="inlineStr">
        <is>
          <t>1999-05-04</t>
        </is>
      </c>
      <c r="K391" s="43" t="n">
        <v>6701</v>
      </c>
      <c r="L391" s="44" t="inlineStr">
        <is>
          <t>2000-01-03</t>
        </is>
      </c>
      <c r="M391" s="44" t="inlineStr">
        <is>
          <t>2026-08-25</t>
        </is>
      </c>
      <c r="N391" s="43" t="n">
        <v>331</v>
      </c>
      <c r="O391" s="46" t="n">
        <v>-21.2203</v>
      </c>
      <c r="P391" s="46" t="n">
        <v>-77.60680000000001</v>
      </c>
      <c r="Q391" s="46" t="n">
        <v>51.5995</v>
      </c>
      <c r="R391" s="46" t="n">
        <v>-8.2418</v>
      </c>
      <c r="S391" s="47">
        <f>IF($I391="Yes",$O391,"")</f>
        <v/>
      </c>
    </row>
    <row r="392">
      <c r="A392" s="48" t="inlineStr">
        <is>
          <t>HBAN</t>
        </is>
      </c>
      <c r="B392" s="49" t="inlineStr">
        <is>
          <t>Huntington Bancshares Incorporated</t>
        </is>
      </c>
      <c r="C392" s="49" t="inlineStr">
        <is>
          <t>US</t>
        </is>
      </c>
      <c r="D392" s="49" t="inlineStr">
        <is>
          <t>S&amp;P 500</t>
        </is>
      </c>
      <c r="E392" s="49" t="inlineStr">
        <is>
          <t>Financial Services</t>
        </is>
      </c>
      <c r="F392" s="50" t="n">
        <v>34427871232</v>
      </c>
      <c r="G392" s="49" t="inlineStr">
        <is>
          <t>nightly refresh</t>
        </is>
      </c>
      <c r="H392" s="48" t="n">
        <v>296</v>
      </c>
      <c r="I392" s="49" t="inlineStr">
        <is>
          <t>No</t>
        </is>
      </c>
      <c r="J392" s="49" t="inlineStr">
        <is>
          <t>1980-03-17</t>
        </is>
      </c>
      <c r="K392" s="48" t="n">
        <v>6701</v>
      </c>
      <c r="L392" s="49" t="inlineStr">
        <is>
          <t>2000-01-03</t>
        </is>
      </c>
      <c r="M392" s="49" t="inlineStr">
        <is>
          <t>2026-08-25</t>
        </is>
      </c>
      <c r="N392" s="48" t="n">
        <v>328</v>
      </c>
      <c r="O392" s="51" t="n">
        <v>-22.5271</v>
      </c>
      <c r="P392" s="51" t="n">
        <v>-92.3154</v>
      </c>
      <c r="Q392" s="51" t="n">
        <v>54.7429</v>
      </c>
      <c r="R392" s="51" t="n">
        <v>-12.0121</v>
      </c>
      <c r="S392" s="52">
        <f>IF($I392="Yes",$O392,"")</f>
        <v/>
      </c>
    </row>
    <row r="393">
      <c r="A393" s="43" t="inlineStr">
        <is>
          <t>HIG</t>
        </is>
      </c>
      <c r="B393" s="44" t="inlineStr">
        <is>
          <t>The Hartford Insurance Group, Inc.</t>
        </is>
      </c>
      <c r="C393" s="44" t="inlineStr">
        <is>
          <t>US</t>
        </is>
      </c>
      <c r="D393" s="44" t="inlineStr">
        <is>
          <t>S&amp;P 500</t>
        </is>
      </c>
      <c r="E393" s="44" t="inlineStr">
        <is>
          <t>Financial Services</t>
        </is>
      </c>
      <c r="F393" s="45" t="n">
        <v>37884157952</v>
      </c>
      <c r="G393" s="44" t="inlineStr">
        <is>
          <t>nightly refresh</t>
        </is>
      </c>
      <c r="H393" s="43" t="n">
        <v>282</v>
      </c>
      <c r="I393" s="44" t="inlineStr">
        <is>
          <t>No</t>
        </is>
      </c>
      <c r="J393" s="44" t="inlineStr">
        <is>
          <t>1995-12-15</t>
        </is>
      </c>
      <c r="K393" s="43" t="n">
        <v>6701</v>
      </c>
      <c r="L393" s="44" t="inlineStr">
        <is>
          <t>2000-01-03</t>
        </is>
      </c>
      <c r="M393" s="44" t="inlineStr">
        <is>
          <t>2026-08-25</t>
        </is>
      </c>
      <c r="N393" s="43" t="n">
        <v>343</v>
      </c>
      <c r="O393" s="46" t="n">
        <v>-20.3201</v>
      </c>
      <c r="P393" s="46" t="n">
        <v>-95.13939999999999</v>
      </c>
      <c r="Q393" s="46" t="n">
        <v>72.8728</v>
      </c>
      <c r="R393" s="46" t="n">
        <v>-5.3741</v>
      </c>
      <c r="S393" s="47">
        <f>IF($I393="Yes",$O393,"")</f>
        <v/>
      </c>
    </row>
    <row r="394">
      <c r="A394" s="48" t="inlineStr">
        <is>
          <t>HOOD</t>
        </is>
      </c>
      <c r="B394" s="49" t="inlineStr">
        <is>
          <t>Robinhood Markets, Inc.</t>
        </is>
      </c>
      <c r="C394" s="49" t="inlineStr">
        <is>
          <t>US</t>
        </is>
      </c>
      <c r="D394" s="49" t="inlineStr">
        <is>
          <t>S&amp;P 500</t>
        </is>
      </c>
      <c r="E394" s="49" t="inlineStr">
        <is>
          <t>Financial Services</t>
        </is>
      </c>
      <c r="F394" s="50" t="n">
        <v>97586397184</v>
      </c>
      <c r="G394" s="49" t="inlineStr">
        <is>
          <t>nightly refresh</t>
        </is>
      </c>
      <c r="H394" s="48" t="n">
        <v>130</v>
      </c>
      <c r="I394" s="49" t="inlineStr">
        <is>
          <t>No</t>
        </is>
      </c>
      <c r="J394" s="49" t="inlineStr">
        <is>
          <t>2021-07-29</t>
        </is>
      </c>
      <c r="K394" s="48" t="n">
        <v>1274</v>
      </c>
      <c r="L394" s="49" t="inlineStr">
        <is>
          <t>2021-07-29</t>
        </is>
      </c>
      <c r="M394" s="49" t="inlineStr">
        <is>
          <t>2026-08-25</t>
        </is>
      </c>
      <c r="N394" s="48" t="n">
        <v>76</v>
      </c>
      <c r="O394" s="51" t="n">
        <v>-39.46</v>
      </c>
      <c r="P394" s="51" t="n">
        <v>-91.89409999999999</v>
      </c>
      <c r="Q394" s="51" t="n">
        <v>146.4199</v>
      </c>
      <c r="R394" s="51" t="n">
        <v>-27.1481</v>
      </c>
      <c r="S394" s="52">
        <f>IF($I394="Yes",$O394,"")</f>
        <v/>
      </c>
    </row>
    <row r="395">
      <c r="A395" s="43" t="inlineStr">
        <is>
          <t>IBKR</t>
        </is>
      </c>
      <c r="B395" s="44" t="inlineStr">
        <is>
          <t>Interactive Brokers Group, Inc.</t>
        </is>
      </c>
      <c r="C395" s="44" t="inlineStr">
        <is>
          <t>US</t>
        </is>
      </c>
      <c r="D395" s="44" t="inlineStr">
        <is>
          <t>S&amp;P 500</t>
        </is>
      </c>
      <c r="E395" s="44" t="inlineStr">
        <is>
          <t>Financial Services</t>
        </is>
      </c>
      <c r="F395" s="45" t="n">
        <v>165304172544</v>
      </c>
      <c r="G395" s="44" t="inlineStr">
        <is>
          <t>nightly refresh</t>
        </is>
      </c>
      <c r="H395" s="43" t="n">
        <v>80</v>
      </c>
      <c r="I395" s="44" t="inlineStr">
        <is>
          <t>No</t>
        </is>
      </c>
      <c r="J395" s="44" t="inlineStr">
        <is>
          <t>2007-05-04</t>
        </is>
      </c>
      <c r="K395" s="43" t="n">
        <v>4858</v>
      </c>
      <c r="L395" s="44" t="inlineStr">
        <is>
          <t>2007-05-04</t>
        </is>
      </c>
      <c r="M395" s="44" t="inlineStr">
        <is>
          <t>2026-08-25</t>
        </is>
      </c>
      <c r="N395" s="43" t="n">
        <v>254</v>
      </c>
      <c r="O395" s="46" t="n">
        <v>-20.9687</v>
      </c>
      <c r="P395" s="46" t="n">
        <v>-63.5402</v>
      </c>
      <c r="Q395" s="46" t="n">
        <v>49.2572</v>
      </c>
      <c r="R395" s="46" t="n">
        <v>-0.5167</v>
      </c>
      <c r="S395" s="47">
        <f>IF($I395="Yes",$O395,"")</f>
        <v/>
      </c>
    </row>
    <row r="396">
      <c r="A396" s="48" t="inlineStr">
        <is>
          <t>ICE</t>
        </is>
      </c>
      <c r="B396" s="49" t="inlineStr">
        <is>
          <t>Intercontinental Exchange, Inc.</t>
        </is>
      </c>
      <c r="C396" s="49" t="inlineStr">
        <is>
          <t>US</t>
        </is>
      </c>
      <c r="D396" s="49" t="inlineStr">
        <is>
          <t>S&amp;P 500</t>
        </is>
      </c>
      <c r="E396" s="49" t="inlineStr">
        <is>
          <t>Financial Services</t>
        </is>
      </c>
      <c r="F396" s="50" t="n">
        <v>90900996096</v>
      </c>
      <c r="G396" s="49" t="inlineStr">
        <is>
          <t>nightly refresh</t>
        </is>
      </c>
      <c r="H396" s="48" t="n">
        <v>144</v>
      </c>
      <c r="I396" s="49" t="inlineStr">
        <is>
          <t>No</t>
        </is>
      </c>
      <c r="J396" s="49" t="inlineStr">
        <is>
          <t>2005-11-16</t>
        </is>
      </c>
      <c r="K396" s="48" t="n">
        <v>5224</v>
      </c>
      <c r="L396" s="49" t="inlineStr">
        <is>
          <t>2005-11-16</t>
        </is>
      </c>
      <c r="M396" s="49" t="inlineStr">
        <is>
          <t>2026-08-25</t>
        </is>
      </c>
      <c r="N396" s="48" t="n">
        <v>239</v>
      </c>
      <c r="O396" s="51" t="n">
        <v>-17.3156</v>
      </c>
      <c r="P396" s="51" t="n">
        <v>-73.9945</v>
      </c>
      <c r="Q396" s="51" t="n">
        <v>49.6836</v>
      </c>
      <c r="R396" s="51" t="n">
        <v>-10.1339</v>
      </c>
      <c r="S396" s="52">
        <f>IF($I396="Yes",$O396,"")</f>
        <v/>
      </c>
    </row>
    <row r="397">
      <c r="A397" s="43" t="inlineStr">
        <is>
          <t>IVZ</t>
        </is>
      </c>
      <c r="B397" s="44" t="inlineStr">
        <is>
          <t>Invesco Ltd.</t>
        </is>
      </c>
      <c r="C397" s="44" t="inlineStr">
        <is>
          <t>US</t>
        </is>
      </c>
      <c r="D397" s="44" t="inlineStr">
        <is>
          <t>S&amp;P 500</t>
        </is>
      </c>
      <c r="E397" s="44" t="inlineStr">
        <is>
          <t>Financial Services</t>
        </is>
      </c>
      <c r="F397" s="45" t="n">
        <v>14560662528</v>
      </c>
      <c r="G397" s="44" t="inlineStr">
        <is>
          <t>nightly refresh</t>
        </is>
      </c>
      <c r="H397" s="43" t="n">
        <v>444</v>
      </c>
      <c r="I397" s="44" t="inlineStr">
        <is>
          <t>No</t>
        </is>
      </c>
      <c r="J397" s="44" t="inlineStr">
        <is>
          <t>1995-08-25</t>
        </is>
      </c>
      <c r="K397" s="43" t="n">
        <v>6701</v>
      </c>
      <c r="L397" s="44" t="inlineStr">
        <is>
          <t>2000-01-03</t>
        </is>
      </c>
      <c r="M397" s="44" t="inlineStr">
        <is>
          <t>2026-08-25</t>
        </is>
      </c>
      <c r="N397" s="43" t="n">
        <v>366</v>
      </c>
      <c r="O397" s="46" t="n">
        <v>-24.5658</v>
      </c>
      <c r="P397" s="46" t="n">
        <v>-74.42059999999999</v>
      </c>
      <c r="Q397" s="46" t="n">
        <v>62.4284</v>
      </c>
      <c r="R397" s="46" t="n">
        <v>-0.8335</v>
      </c>
      <c r="S397" s="47">
        <f>IF($I397="Yes",$O397,"")</f>
        <v/>
      </c>
    </row>
    <row r="398">
      <c r="A398" s="48" t="inlineStr">
        <is>
          <t>JPM</t>
        </is>
      </c>
      <c r="B398" s="49" t="inlineStr">
        <is>
          <t>JPMorgan Chase &amp; Co.</t>
        </is>
      </c>
      <c r="C398" s="49" t="inlineStr">
        <is>
          <t>US</t>
        </is>
      </c>
      <c r="D398" s="49" t="inlineStr">
        <is>
          <t>S&amp;P 500</t>
        </is>
      </c>
      <c r="E398" s="49" t="inlineStr">
        <is>
          <t>Financial Services</t>
        </is>
      </c>
      <c r="F398" s="50" t="n">
        <v>947643416576</v>
      </c>
      <c r="G398" s="49" t="inlineStr">
        <is>
          <t>nightly refresh</t>
        </is>
      </c>
      <c r="H398" s="48" t="n">
        <v>13</v>
      </c>
      <c r="I398" s="49" t="inlineStr">
        <is>
          <t>Yes</t>
        </is>
      </c>
      <c r="J398" s="49" t="inlineStr">
        <is>
          <t>1980-03-17</t>
        </is>
      </c>
      <c r="K398" s="48" t="n">
        <v>6701</v>
      </c>
      <c r="L398" s="49" t="inlineStr">
        <is>
          <t>2000-01-03</t>
        </is>
      </c>
      <c r="M398" s="49" t="inlineStr">
        <is>
          <t>2026-08-25</t>
        </is>
      </c>
      <c r="N398" s="48" t="n">
        <v>331</v>
      </c>
      <c r="O398" s="51" t="n">
        <v>-19.1483</v>
      </c>
      <c r="P398" s="51" t="n">
        <v>-68.21259999999999</v>
      </c>
      <c r="Q398" s="51" t="n">
        <v>46.7335</v>
      </c>
      <c r="R398" s="51" t="n">
        <v>-2.6767</v>
      </c>
      <c r="S398" s="52">
        <f>IF($I398="Yes",$O398,"")</f>
        <v/>
      </c>
    </row>
    <row r="399">
      <c r="A399" s="43" t="inlineStr">
        <is>
          <t>KEY</t>
        </is>
      </c>
      <c r="B399" s="44" t="inlineStr">
        <is>
          <t>KeyCorp</t>
        </is>
      </c>
      <c r="C399" s="44" t="inlineStr">
        <is>
          <t>US</t>
        </is>
      </c>
      <c r="D399" s="44" t="inlineStr">
        <is>
          <t>S&amp;P 500</t>
        </is>
      </c>
      <c r="E399" s="44" t="inlineStr">
        <is>
          <t>Financial Services</t>
        </is>
      </c>
      <c r="F399" s="45" t="n">
        <v>23572871168</v>
      </c>
      <c r="G399" s="44" t="inlineStr">
        <is>
          <t>nightly refresh</t>
        </is>
      </c>
      <c r="H399" s="43" t="n">
        <v>378</v>
      </c>
      <c r="I399" s="44" t="inlineStr">
        <is>
          <t>No</t>
        </is>
      </c>
      <c r="J399" s="44" t="inlineStr">
        <is>
          <t>1987-11-05</t>
        </is>
      </c>
      <c r="K399" s="43" t="n">
        <v>6701</v>
      </c>
      <c r="L399" s="44" t="inlineStr">
        <is>
          <t>2000-01-03</t>
        </is>
      </c>
      <c r="M399" s="44" t="inlineStr">
        <is>
          <t>2026-08-25</t>
        </is>
      </c>
      <c r="N399" s="43" t="n">
        <v>332</v>
      </c>
      <c r="O399" s="46" t="n">
        <v>-23.3576</v>
      </c>
      <c r="P399" s="46" t="n">
        <v>-79.8212</v>
      </c>
      <c r="Q399" s="46" t="n">
        <v>45.0879</v>
      </c>
      <c r="R399" s="46" t="n">
        <v>-9.056900000000001</v>
      </c>
      <c r="S399" s="47">
        <f>IF($I399="Yes",$O399,"")</f>
        <v/>
      </c>
    </row>
    <row r="400">
      <c r="A400" s="48" t="inlineStr">
        <is>
          <t>KKR</t>
        </is>
      </c>
      <c r="B400" s="49" t="inlineStr">
        <is>
          <t>KKR &amp; Co. Inc.</t>
        </is>
      </c>
      <c r="C400" s="49" t="inlineStr">
        <is>
          <t>US</t>
        </is>
      </c>
      <c r="D400" s="49" t="inlineStr">
        <is>
          <t>S&amp;P 500</t>
        </is>
      </c>
      <c r="E400" s="49" t="inlineStr">
        <is>
          <t>Financial Services</t>
        </is>
      </c>
      <c r="F400" s="50" t="n">
        <v>100209573888</v>
      </c>
      <c r="G400" s="49" t="inlineStr">
        <is>
          <t>nightly refresh</t>
        </is>
      </c>
      <c r="H400" s="48" t="n">
        <v>125</v>
      </c>
      <c r="I400" s="49" t="inlineStr">
        <is>
          <t>No</t>
        </is>
      </c>
      <c r="J400" s="49" t="inlineStr">
        <is>
          <t>2010-07-15</t>
        </is>
      </c>
      <c r="K400" s="48" t="n">
        <v>4053</v>
      </c>
      <c r="L400" s="49" t="inlineStr">
        <is>
          <t>2010-07-15</t>
        </is>
      </c>
      <c r="M400" s="49" t="inlineStr">
        <is>
          <t>2026-08-25</t>
        </is>
      </c>
      <c r="N400" s="48" t="n">
        <v>231</v>
      </c>
      <c r="O400" s="51" t="n">
        <v>-19.9516</v>
      </c>
      <c r="P400" s="51" t="n">
        <v>-53.5055</v>
      </c>
      <c r="Q400" s="51" t="n">
        <v>67.86579999999999</v>
      </c>
      <c r="R400" s="51" t="n">
        <v>-28.8926</v>
      </c>
      <c r="S400" s="52">
        <f>IF($I400="Yes",$O400,"")</f>
        <v/>
      </c>
    </row>
    <row r="401">
      <c r="A401" s="43" t="inlineStr">
        <is>
          <t>L</t>
        </is>
      </c>
      <c r="B401" s="44" t="inlineStr">
        <is>
          <t>Loews Corporation</t>
        </is>
      </c>
      <c r="C401" s="44" t="inlineStr">
        <is>
          <t>US</t>
        </is>
      </c>
      <c r="D401" s="44" t="inlineStr">
        <is>
          <t>S&amp;P 500</t>
        </is>
      </c>
      <c r="E401" s="44" t="inlineStr">
        <is>
          <t>Financial Services</t>
        </is>
      </c>
      <c r="F401" s="45" t="n">
        <v>22683297792</v>
      </c>
      <c r="G401" s="44" t="inlineStr">
        <is>
          <t>nightly refresh</t>
        </is>
      </c>
      <c r="H401" s="43" t="n">
        <v>382</v>
      </c>
      <c r="I401" s="44" t="inlineStr">
        <is>
          <t>No</t>
        </is>
      </c>
      <c r="J401" s="44" t="inlineStr">
        <is>
          <t>1980-03-17</t>
        </is>
      </c>
      <c r="K401" s="43" t="n">
        <v>6701</v>
      </c>
      <c r="L401" s="44" t="inlineStr">
        <is>
          <t>2000-01-03</t>
        </is>
      </c>
      <c r="M401" s="44" t="inlineStr">
        <is>
          <t>2026-08-25</t>
        </is>
      </c>
      <c r="N401" s="43" t="n">
        <v>295</v>
      </c>
      <c r="O401" s="46" t="n">
        <v>-16.6966</v>
      </c>
      <c r="P401" s="46" t="n">
        <v>-64.77030000000001</v>
      </c>
      <c r="Q401" s="46" t="n">
        <v>36.5964</v>
      </c>
      <c r="R401" s="46" t="n">
        <v>-8.377700000000001</v>
      </c>
      <c r="S401" s="47">
        <f>IF($I401="Yes",$O401,"")</f>
        <v/>
      </c>
    </row>
    <row r="402">
      <c r="A402" s="48" t="inlineStr">
        <is>
          <t>MA</t>
        </is>
      </c>
      <c r="B402" s="49" t="inlineStr">
        <is>
          <t>Mastercard Incorporated</t>
        </is>
      </c>
      <c r="C402" s="49" t="inlineStr">
        <is>
          <t>US</t>
        </is>
      </c>
      <c r="D402" s="49" t="inlineStr">
        <is>
          <t>S&amp;P 500</t>
        </is>
      </c>
      <c r="E402" s="49" t="inlineStr">
        <is>
          <t>Financial Services</t>
        </is>
      </c>
      <c r="F402" s="50" t="n">
        <v>524265619456</v>
      </c>
      <c r="G402" s="49" t="inlineStr">
        <is>
          <t>nightly refresh</t>
        </is>
      </c>
      <c r="H402" s="48" t="n">
        <v>19</v>
      </c>
      <c r="I402" s="49" t="inlineStr">
        <is>
          <t>Yes</t>
        </is>
      </c>
      <c r="J402" s="49" t="inlineStr">
        <is>
          <t>2006-05-25</t>
        </is>
      </c>
      <c r="K402" s="48" t="n">
        <v>5094</v>
      </c>
      <c r="L402" s="49" t="inlineStr">
        <is>
          <t>2006-05-25</t>
        </is>
      </c>
      <c r="M402" s="49" t="inlineStr">
        <is>
          <t>2026-08-25</t>
        </is>
      </c>
      <c r="N402" s="48" t="n">
        <v>242</v>
      </c>
      <c r="O402" s="51" t="n">
        <v>-14.6541</v>
      </c>
      <c r="P402" s="51" t="n">
        <v>-62.7002</v>
      </c>
      <c r="Q402" s="51" t="n">
        <v>55.0971</v>
      </c>
      <c r="R402" s="51" t="n">
        <v>-0.3011</v>
      </c>
      <c r="S402" s="52">
        <f>IF($I402="Yes",$O402,"")</f>
        <v/>
      </c>
    </row>
    <row r="403">
      <c r="A403" s="43" t="inlineStr">
        <is>
          <t>MCO</t>
        </is>
      </c>
      <c r="B403" s="44" t="inlineStr">
        <is>
          <t>Moody's Corporation</t>
        </is>
      </c>
      <c r="C403" s="44" t="inlineStr">
        <is>
          <t>US</t>
        </is>
      </c>
      <c r="D403" s="44" t="inlineStr">
        <is>
          <t>S&amp;P 500</t>
        </is>
      </c>
      <c r="E403" s="44" t="inlineStr">
        <is>
          <t>Financial Services</t>
        </is>
      </c>
      <c r="F403" s="45" t="n">
        <v>89110274048</v>
      </c>
      <c r="G403" s="44" t="inlineStr">
        <is>
          <t>nightly refresh</t>
        </is>
      </c>
      <c r="H403" s="43" t="n">
        <v>146</v>
      </c>
      <c r="I403" s="44" t="inlineStr">
        <is>
          <t>No</t>
        </is>
      </c>
      <c r="J403" s="44" t="inlineStr">
        <is>
          <t>1994-10-31</t>
        </is>
      </c>
      <c r="K403" s="43" t="n">
        <v>6701</v>
      </c>
      <c r="L403" s="44" t="inlineStr">
        <is>
          <t>2000-01-03</t>
        </is>
      </c>
      <c r="M403" s="44" t="inlineStr">
        <is>
          <t>2026-08-25</t>
        </is>
      </c>
      <c r="N403" s="43" t="n">
        <v>313</v>
      </c>
      <c r="O403" s="46" t="n">
        <v>-17.9272</v>
      </c>
      <c r="P403" s="46" t="n">
        <v>-66.02119999999999</v>
      </c>
      <c r="Q403" s="46" t="n">
        <v>47.2661</v>
      </c>
      <c r="R403" s="46" t="n">
        <v>-5.7479</v>
      </c>
      <c r="S403" s="47">
        <f>IF($I403="Yes",$O403,"")</f>
        <v/>
      </c>
    </row>
    <row r="404">
      <c r="A404" s="48" t="inlineStr">
        <is>
          <t>MET</t>
        </is>
      </c>
      <c r="B404" s="49" t="inlineStr">
        <is>
          <t>MetLife, Inc.</t>
        </is>
      </c>
      <c r="C404" s="49" t="inlineStr">
        <is>
          <t>US</t>
        </is>
      </c>
      <c r="D404" s="49" t="inlineStr">
        <is>
          <t>S&amp;P 500</t>
        </is>
      </c>
      <c r="E404" s="49" t="inlineStr">
        <is>
          <t>Financial Services</t>
        </is>
      </c>
      <c r="F404" s="50" t="n">
        <v>61336231936</v>
      </c>
      <c r="G404" s="49" t="inlineStr">
        <is>
          <t>nightly refresh</t>
        </is>
      </c>
      <c r="H404" s="48" t="n">
        <v>202</v>
      </c>
      <c r="I404" s="49" t="inlineStr">
        <is>
          <t>No</t>
        </is>
      </c>
      <c r="J404" s="49" t="inlineStr">
        <is>
          <t>2000-04-05</t>
        </is>
      </c>
      <c r="K404" s="48" t="n">
        <v>6636</v>
      </c>
      <c r="L404" s="49" t="inlineStr">
        <is>
          <t>2000-04-05</t>
        </is>
      </c>
      <c r="M404" s="49" t="inlineStr">
        <is>
          <t>2026-08-25</t>
        </is>
      </c>
      <c r="N404" s="48" t="n">
        <v>332</v>
      </c>
      <c r="O404" s="51" t="n">
        <v>-18.3712</v>
      </c>
      <c r="P404" s="51" t="n">
        <v>-81.13630000000001</v>
      </c>
      <c r="Q404" s="51" t="n">
        <v>47.886</v>
      </c>
      <c r="R404" s="51" t="n">
        <v>-5.0134</v>
      </c>
      <c r="S404" s="52">
        <f>IF($I404="Yes",$O404,"")</f>
        <v/>
      </c>
    </row>
    <row r="405">
      <c r="A405" s="43" t="inlineStr">
        <is>
          <t>MRSH</t>
        </is>
      </c>
      <c r="B405" s="44" t="inlineStr">
        <is>
          <t>Marsh &amp; McLennan Companies, Inc.</t>
        </is>
      </c>
      <c r="C405" s="44" t="inlineStr">
        <is>
          <t>US</t>
        </is>
      </c>
      <c r="D405" s="44" t="inlineStr">
        <is>
          <t>S&amp;P 500</t>
        </is>
      </c>
      <c r="E405" s="44" t="inlineStr">
        <is>
          <t>Financial Services</t>
        </is>
      </c>
      <c r="F405" s="45" t="n">
        <v>92225847296</v>
      </c>
      <c r="G405" s="44" t="inlineStr">
        <is>
          <t>nightly refresh</t>
        </is>
      </c>
      <c r="H405" s="43" t="n">
        <v>141</v>
      </c>
      <c r="I405" s="44" t="inlineStr">
        <is>
          <t>No</t>
        </is>
      </c>
      <c r="J405" s="44" t="inlineStr">
        <is>
          <t>1973-02-21</t>
        </is>
      </c>
      <c r="K405" s="43" t="n">
        <v>6701</v>
      </c>
      <c r="L405" s="44" t="inlineStr">
        <is>
          <t>2000-01-03</t>
        </is>
      </c>
      <c r="M405" s="44" t="inlineStr">
        <is>
          <t>2026-08-25</t>
        </is>
      </c>
      <c r="N405" s="43" t="n">
        <v>269</v>
      </c>
      <c r="O405" s="46" t="n">
        <v>-17.1678</v>
      </c>
      <c r="P405" s="46" t="n">
        <v>-50.9665</v>
      </c>
      <c r="Q405" s="46" t="n">
        <v>31.1546</v>
      </c>
      <c r="R405" s="46" t="n">
        <v>-7.1093</v>
      </c>
      <c r="S405" s="47">
        <f>IF($I405="Yes",$O405,"")</f>
        <v/>
      </c>
    </row>
    <row r="406">
      <c r="A406" s="48" t="inlineStr">
        <is>
          <t>MS</t>
        </is>
      </c>
      <c r="B406" s="49" t="inlineStr">
        <is>
          <t>Morgan Stanley</t>
        </is>
      </c>
      <c r="C406" s="49" t="inlineStr">
        <is>
          <t>US</t>
        </is>
      </c>
      <c r="D406" s="49" t="inlineStr">
        <is>
          <t>S&amp;P 500</t>
        </is>
      </c>
      <c r="E406" s="49" t="inlineStr">
        <is>
          <t>Financial Services</t>
        </is>
      </c>
      <c r="F406" s="50" t="n">
        <v>336226844672</v>
      </c>
      <c r="G406" s="49" t="inlineStr">
        <is>
          <t>nightly refresh</t>
        </is>
      </c>
      <c r="H406" s="48" t="n">
        <v>37</v>
      </c>
      <c r="I406" s="49" t="inlineStr">
        <is>
          <t>Yes</t>
        </is>
      </c>
      <c r="J406" s="49" t="inlineStr">
        <is>
          <t>1993-02-23</t>
        </is>
      </c>
      <c r="K406" s="48" t="n">
        <v>6701</v>
      </c>
      <c r="L406" s="49" t="inlineStr">
        <is>
          <t>2000-01-03</t>
        </is>
      </c>
      <c r="M406" s="49" t="inlineStr">
        <is>
          <t>2026-08-25</t>
        </is>
      </c>
      <c r="N406" s="48" t="n">
        <v>370</v>
      </c>
      <c r="O406" s="51" t="n">
        <v>-23.9094</v>
      </c>
      <c r="P406" s="51" t="n">
        <v>-85.4346</v>
      </c>
      <c r="Q406" s="51" t="n">
        <v>61.3361</v>
      </c>
      <c r="R406" s="51" t="n">
        <v>-6.1514</v>
      </c>
      <c r="S406" s="52">
        <f>IF($I406="Yes",$O406,"")</f>
        <v/>
      </c>
    </row>
    <row r="407">
      <c r="A407" s="43" t="inlineStr">
        <is>
          <t>MSCI</t>
        </is>
      </c>
      <c r="B407" s="44" t="inlineStr">
        <is>
          <t>MSCI Inc.</t>
        </is>
      </c>
      <c r="C407" s="44" t="inlineStr">
        <is>
          <t>US</t>
        </is>
      </c>
      <c r="D407" s="44" t="inlineStr">
        <is>
          <t>S&amp;P 500</t>
        </is>
      </c>
      <c r="E407" s="44" t="inlineStr">
        <is>
          <t>Financial Services</t>
        </is>
      </c>
      <c r="F407" s="45" t="n">
        <v>41018789888</v>
      </c>
      <c r="G407" s="44" t="inlineStr">
        <is>
          <t>nightly refresh</t>
        </is>
      </c>
      <c r="H407" s="43" t="n">
        <v>269</v>
      </c>
      <c r="I407" s="44" t="inlineStr">
        <is>
          <t>No</t>
        </is>
      </c>
      <c r="J407" s="44" t="inlineStr">
        <is>
          <t>2007-11-15</t>
        </is>
      </c>
      <c r="K407" s="43" t="n">
        <v>4722</v>
      </c>
      <c r="L407" s="44" t="inlineStr">
        <is>
          <t>2007-11-15</t>
        </is>
      </c>
      <c r="M407" s="44" t="inlineStr">
        <is>
          <t>2026-08-25</t>
        </is>
      </c>
      <c r="N407" s="43" t="n">
        <v>249</v>
      </c>
      <c r="O407" s="46" t="n">
        <v>-17.0022</v>
      </c>
      <c r="P407" s="46" t="n">
        <v>-69.0625</v>
      </c>
      <c r="Q407" s="46" t="n">
        <v>51.3879</v>
      </c>
      <c r="R407" s="46" t="n">
        <v>-12.5163</v>
      </c>
      <c r="S407" s="47">
        <f>IF($I407="Yes",$O407,"")</f>
        <v/>
      </c>
    </row>
    <row r="408">
      <c r="A408" s="48" t="inlineStr">
        <is>
          <t>MTB</t>
        </is>
      </c>
      <c r="B408" s="49" t="inlineStr">
        <is>
          <t>M&amp;T Bank Corporation</t>
        </is>
      </c>
      <c r="C408" s="49" t="inlineStr">
        <is>
          <t>US</t>
        </is>
      </c>
      <c r="D408" s="49" t="inlineStr">
        <is>
          <t>S&amp;P 500</t>
        </is>
      </c>
      <c r="E408" s="49" t="inlineStr">
        <is>
          <t>Financial Services</t>
        </is>
      </c>
      <c r="F408" s="50" t="n">
        <v>34882301952</v>
      </c>
      <c r="G408" s="49" t="inlineStr">
        <is>
          <t>nightly refresh</t>
        </is>
      </c>
      <c r="H408" s="48" t="n">
        <v>294</v>
      </c>
      <c r="I408" s="49" t="inlineStr">
        <is>
          <t>No</t>
        </is>
      </c>
      <c r="J408" s="49" t="inlineStr">
        <is>
          <t>1980-03-17</t>
        </is>
      </c>
      <c r="K408" s="48" t="n">
        <v>6701</v>
      </c>
      <c r="L408" s="49" t="inlineStr">
        <is>
          <t>2000-01-03</t>
        </is>
      </c>
      <c r="M408" s="49" t="inlineStr">
        <is>
          <t>2026-08-25</t>
        </is>
      </c>
      <c r="N408" s="48" t="n">
        <v>324</v>
      </c>
      <c r="O408" s="51" t="n">
        <v>-17.3302</v>
      </c>
      <c r="P408" s="51" t="n">
        <v>-71.06829999999999</v>
      </c>
      <c r="Q408" s="51" t="n">
        <v>37.3579</v>
      </c>
      <c r="R408" s="51" t="n">
        <v>-6.0715</v>
      </c>
      <c r="S408" s="52">
        <f>IF($I408="Yes",$O408,"")</f>
        <v/>
      </c>
    </row>
    <row r="409">
      <c r="A409" s="43" t="inlineStr">
        <is>
          <t>NDAQ</t>
        </is>
      </c>
      <c r="B409" s="44" t="inlineStr">
        <is>
          <t>Nasdaq, Inc.</t>
        </is>
      </c>
      <c r="C409" s="44" t="inlineStr">
        <is>
          <t>US</t>
        </is>
      </c>
      <c r="D409" s="44" t="inlineStr">
        <is>
          <t>S&amp;P 500</t>
        </is>
      </c>
      <c r="E409" s="44" t="inlineStr">
        <is>
          <t>Financial Services</t>
        </is>
      </c>
      <c r="F409" s="45" t="n">
        <v>55601475584</v>
      </c>
      <c r="G409" s="44" t="inlineStr">
        <is>
          <t>nightly refresh</t>
        </is>
      </c>
      <c r="H409" s="43" t="n">
        <v>223</v>
      </c>
      <c r="I409" s="44" t="inlineStr">
        <is>
          <t>No</t>
        </is>
      </c>
      <c r="J409" s="44" t="inlineStr">
        <is>
          <t>2002-07-01</t>
        </is>
      </c>
      <c r="K409" s="43" t="n">
        <v>6077</v>
      </c>
      <c r="L409" s="44" t="inlineStr">
        <is>
          <t>2002-07-01</t>
        </is>
      </c>
      <c r="M409" s="44" t="inlineStr">
        <is>
          <t>2026-08-25</t>
        </is>
      </c>
      <c r="N409" s="43" t="n">
        <v>289</v>
      </c>
      <c r="O409" s="46" t="n">
        <v>-21.0286</v>
      </c>
      <c r="P409" s="46" t="n">
        <v>-68.48</v>
      </c>
      <c r="Q409" s="46" t="n">
        <v>57.572</v>
      </c>
      <c r="R409" s="46" t="n">
        <v>-2.35</v>
      </c>
      <c r="S409" s="47">
        <f>IF($I409="Yes",$O409,"")</f>
        <v/>
      </c>
    </row>
    <row r="410">
      <c r="A410" s="48" t="inlineStr">
        <is>
          <t>NTRS</t>
        </is>
      </c>
      <c r="B410" s="49" t="inlineStr">
        <is>
          <t>Northern Trust Corporation</t>
        </is>
      </c>
      <c r="C410" s="49" t="inlineStr">
        <is>
          <t>US</t>
        </is>
      </c>
      <c r="D410" s="49" t="inlineStr">
        <is>
          <t>S&amp;P 500</t>
        </is>
      </c>
      <c r="E410" s="49" t="inlineStr">
        <is>
          <t>Financial Services</t>
        </is>
      </c>
      <c r="F410" s="50" t="n">
        <v>34333458432</v>
      </c>
      <c r="G410" s="49" t="inlineStr">
        <is>
          <t>nightly refresh</t>
        </is>
      </c>
      <c r="H410" s="48" t="n">
        <v>298</v>
      </c>
      <c r="I410" s="49" t="inlineStr">
        <is>
          <t>No</t>
        </is>
      </c>
      <c r="J410" s="49" t="inlineStr">
        <is>
          <t>1980-03-17</t>
        </is>
      </c>
      <c r="K410" s="48" t="n">
        <v>6701</v>
      </c>
      <c r="L410" s="49" t="inlineStr">
        <is>
          <t>2000-01-03</t>
        </is>
      </c>
      <c r="M410" s="49" t="inlineStr">
        <is>
          <t>2026-08-25</t>
        </is>
      </c>
      <c r="N410" s="48" t="n">
        <v>348</v>
      </c>
      <c r="O410" s="51" t="n">
        <v>-18.3708</v>
      </c>
      <c r="P410" s="51" t="n">
        <v>-61.2123</v>
      </c>
      <c r="Q410" s="51" t="n">
        <v>37.0626</v>
      </c>
      <c r="R410" s="51" t="n">
        <v>-4.5766</v>
      </c>
      <c r="S410" s="52">
        <f>IF($I410="Yes",$O410,"")</f>
        <v/>
      </c>
    </row>
    <row r="411">
      <c r="A411" s="43" t="inlineStr">
        <is>
          <t>PFG</t>
        </is>
      </c>
      <c r="B411" s="44" t="inlineStr">
        <is>
          <t>Principal Financial Group, Inc.</t>
        </is>
      </c>
      <c r="C411" s="44" t="inlineStr">
        <is>
          <t>US</t>
        </is>
      </c>
      <c r="D411" s="44" t="inlineStr">
        <is>
          <t>S&amp;P 500</t>
        </is>
      </c>
      <c r="E411" s="44" t="inlineStr">
        <is>
          <t>Financial Services</t>
        </is>
      </c>
      <c r="F411" s="45" t="n">
        <v>24024680448</v>
      </c>
      <c r="G411" s="44" t="inlineStr">
        <is>
          <t>nightly refresh</t>
        </is>
      </c>
      <c r="H411" s="43" t="n">
        <v>376</v>
      </c>
      <c r="I411" s="44" t="inlineStr">
        <is>
          <t>No</t>
        </is>
      </c>
      <c r="J411" s="44" t="inlineStr">
        <is>
          <t>2001-10-23</t>
        </is>
      </c>
      <c r="K411" s="43" t="n">
        <v>6249</v>
      </c>
      <c r="L411" s="44" t="inlineStr">
        <is>
          <t>2001-10-23</t>
        </is>
      </c>
      <c r="M411" s="44" t="inlineStr">
        <is>
          <t>2026-08-25</t>
        </is>
      </c>
      <c r="N411" s="43" t="n">
        <v>324</v>
      </c>
      <c r="O411" s="46" t="n">
        <v>-18.2371</v>
      </c>
      <c r="P411" s="46" t="n">
        <v>-89.9024</v>
      </c>
      <c r="Q411" s="46" t="n">
        <v>55.1819</v>
      </c>
      <c r="R411" s="46" t="n">
        <v>-4.305</v>
      </c>
      <c r="S411" s="47">
        <f>IF($I411="Yes",$O411,"")</f>
        <v/>
      </c>
    </row>
    <row r="412">
      <c r="A412" s="48" t="inlineStr">
        <is>
          <t>PGR</t>
        </is>
      </c>
      <c r="B412" s="49" t="inlineStr">
        <is>
          <t>The Progressive Corporation</t>
        </is>
      </c>
      <c r="C412" s="49" t="inlineStr">
        <is>
          <t>US</t>
        </is>
      </c>
      <c r="D412" s="49" t="inlineStr">
        <is>
          <t>S&amp;P 500</t>
        </is>
      </c>
      <c r="E412" s="49" t="inlineStr">
        <is>
          <t>Financial Services</t>
        </is>
      </c>
      <c r="F412" s="50" t="n">
        <v>129300561920</v>
      </c>
      <c r="G412" s="49" t="inlineStr">
        <is>
          <t>nightly refresh</t>
        </is>
      </c>
      <c r="H412" s="48" t="n">
        <v>99</v>
      </c>
      <c r="I412" s="49" t="inlineStr">
        <is>
          <t>No</t>
        </is>
      </c>
      <c r="J412" s="49" t="inlineStr">
        <is>
          <t>1980-03-17</t>
        </is>
      </c>
      <c r="K412" s="48" t="n">
        <v>6701</v>
      </c>
      <c r="L412" s="49" t="inlineStr">
        <is>
          <t>2000-01-03</t>
        </is>
      </c>
      <c r="M412" s="49" t="inlineStr">
        <is>
          <t>2026-08-25</t>
        </is>
      </c>
      <c r="N412" s="48" t="n">
        <v>300</v>
      </c>
      <c r="O412" s="51" t="n">
        <v>-14.7071</v>
      </c>
      <c r="P412" s="51" t="n">
        <v>-53.5899</v>
      </c>
      <c r="Q412" s="51" t="n">
        <v>41.0829</v>
      </c>
      <c r="R412" s="51" t="n">
        <v>-7.2228</v>
      </c>
      <c r="S412" s="52">
        <f>IF($I412="Yes",$O412,"")</f>
        <v/>
      </c>
    </row>
    <row r="413">
      <c r="A413" s="43" t="inlineStr">
        <is>
          <t>PNC</t>
        </is>
      </c>
      <c r="B413" s="44" t="inlineStr">
        <is>
          <t>The PNC Financial Services Group, Inc.</t>
        </is>
      </c>
      <c r="C413" s="44" t="inlineStr">
        <is>
          <t>US</t>
        </is>
      </c>
      <c r="D413" s="44" t="inlineStr">
        <is>
          <t>S&amp;P 500</t>
        </is>
      </c>
      <c r="E413" s="44" t="inlineStr">
        <is>
          <t>Financial Services</t>
        </is>
      </c>
      <c r="F413" s="45" t="n">
        <v>97609547776</v>
      </c>
      <c r="G413" s="44" t="inlineStr">
        <is>
          <t>nightly refresh</t>
        </is>
      </c>
      <c r="H413" s="43" t="n">
        <v>129</v>
      </c>
      <c r="I413" s="44" t="inlineStr">
        <is>
          <t>No</t>
        </is>
      </c>
      <c r="J413" s="44" t="inlineStr">
        <is>
          <t>1975-11-17</t>
        </is>
      </c>
      <c r="K413" s="43" t="n">
        <v>6701</v>
      </c>
      <c r="L413" s="44" t="inlineStr">
        <is>
          <t>2000-01-03</t>
        </is>
      </c>
      <c r="M413" s="44" t="inlineStr">
        <is>
          <t>2026-08-25</t>
        </is>
      </c>
      <c r="N413" s="43" t="n">
        <v>341</v>
      </c>
      <c r="O413" s="46" t="n">
        <v>-18.6898</v>
      </c>
      <c r="P413" s="46" t="n">
        <v>-78.4522</v>
      </c>
      <c r="Q413" s="46" t="n">
        <v>44.6751</v>
      </c>
      <c r="R413" s="46" t="n">
        <v>-5.7345</v>
      </c>
      <c r="S413" s="47">
        <f>IF($I413="Yes",$O413,"")</f>
        <v/>
      </c>
    </row>
    <row r="414">
      <c r="A414" s="48" t="inlineStr">
        <is>
          <t>PRU</t>
        </is>
      </c>
      <c r="B414" s="49" t="inlineStr">
        <is>
          <t>Prudential Financial, Inc.</t>
        </is>
      </c>
      <c r="C414" s="49" t="inlineStr">
        <is>
          <t>US</t>
        </is>
      </c>
      <c r="D414" s="49" t="inlineStr">
        <is>
          <t>S&amp;P 500</t>
        </is>
      </c>
      <c r="E414" s="49" t="inlineStr">
        <is>
          <t>Financial Services</t>
        </is>
      </c>
      <c r="F414" s="50" t="n">
        <v>41482801152</v>
      </c>
      <c r="G414" s="49" t="inlineStr">
        <is>
          <t>nightly refresh</t>
        </is>
      </c>
      <c r="H414" s="48" t="n">
        <v>266</v>
      </c>
      <c r="I414" s="49" t="inlineStr">
        <is>
          <t>No</t>
        </is>
      </c>
      <c r="J414" s="49" t="inlineStr">
        <is>
          <t>2001-12-13</t>
        </is>
      </c>
      <c r="K414" s="48" t="n">
        <v>6213</v>
      </c>
      <c r="L414" s="49" t="inlineStr">
        <is>
          <t>2001-12-13</t>
        </is>
      </c>
      <c r="M414" s="49" t="inlineStr">
        <is>
          <t>2026-08-25</t>
        </is>
      </c>
      <c r="N414" s="48" t="n">
        <v>311</v>
      </c>
      <c r="O414" s="51" t="n">
        <v>-18.9543</v>
      </c>
      <c r="P414" s="51" t="n">
        <v>-86.9867</v>
      </c>
      <c r="Q414" s="51" t="n">
        <v>56.5921</v>
      </c>
      <c r="R414" s="51" t="n">
        <v>-5.927</v>
      </c>
      <c r="S414" s="52">
        <f>IF($I414="Yes",$O414,"")</f>
        <v/>
      </c>
    </row>
    <row r="415">
      <c r="A415" s="43" t="inlineStr">
        <is>
          <t>PYPL</t>
        </is>
      </c>
      <c r="B415" s="44" t="inlineStr">
        <is>
          <t>PayPal Holdings, Inc.</t>
        </is>
      </c>
      <c r="C415" s="44" t="inlineStr">
        <is>
          <t>US</t>
        </is>
      </c>
      <c r="D415" s="44" t="inlineStr">
        <is>
          <t>S&amp;P 500</t>
        </is>
      </c>
      <c r="E415" s="44" t="inlineStr">
        <is>
          <t>Financial Services</t>
        </is>
      </c>
      <c r="F415" s="45" t="n">
        <v>52876038144</v>
      </c>
      <c r="G415" s="44" t="inlineStr">
        <is>
          <t>nightly refresh</t>
        </is>
      </c>
      <c r="H415" s="43" t="n">
        <v>231</v>
      </c>
      <c r="I415" s="44" t="inlineStr">
        <is>
          <t>No</t>
        </is>
      </c>
      <c r="J415" s="44" t="inlineStr">
        <is>
          <t>2015-07-06</t>
        </is>
      </c>
      <c r="K415" s="43" t="n">
        <v>2802</v>
      </c>
      <c r="L415" s="44" t="inlineStr">
        <is>
          <t>2015-07-06</t>
        </is>
      </c>
      <c r="M415" s="44" t="inlineStr">
        <is>
          <t>2026-08-25</t>
        </is>
      </c>
      <c r="N415" s="43" t="n">
        <v>151</v>
      </c>
      <c r="O415" s="46" t="n">
        <v>-25.7431</v>
      </c>
      <c r="P415" s="46" t="n">
        <v>-77.5761</v>
      </c>
      <c r="Q415" s="46" t="n">
        <v>49.7406</v>
      </c>
      <c r="R415" s="46" t="n">
        <v>-20.7104</v>
      </c>
      <c r="S415" s="47">
        <f>IF($I415="Yes",$O415,"")</f>
        <v/>
      </c>
    </row>
    <row r="416">
      <c r="A416" s="48" t="inlineStr">
        <is>
          <t>RF</t>
        </is>
      </c>
      <c r="B416" s="49" t="inlineStr">
        <is>
          <t>Regions Financial Corporation</t>
        </is>
      </c>
      <c r="C416" s="49" t="inlineStr">
        <is>
          <t>US</t>
        </is>
      </c>
      <c r="D416" s="49" t="inlineStr">
        <is>
          <t>S&amp;P 500</t>
        </is>
      </c>
      <c r="E416" s="49" t="inlineStr">
        <is>
          <t>Financial Services</t>
        </is>
      </c>
      <c r="F416" s="50" t="n">
        <v>26154237952</v>
      </c>
      <c r="G416" s="49" t="inlineStr">
        <is>
          <t>nightly refresh</t>
        </is>
      </c>
      <c r="H416" s="48" t="n">
        <v>350</v>
      </c>
      <c r="I416" s="49" t="inlineStr">
        <is>
          <t>No</t>
        </is>
      </c>
      <c r="J416" s="49" t="inlineStr">
        <is>
          <t>1980-03-17</t>
        </is>
      </c>
      <c r="K416" s="48" t="n">
        <v>6701</v>
      </c>
      <c r="L416" s="49" t="inlineStr">
        <is>
          <t>2000-01-03</t>
        </is>
      </c>
      <c r="M416" s="49" t="inlineStr">
        <is>
          <t>2026-08-25</t>
        </is>
      </c>
      <c r="N416" s="48" t="n">
        <v>351</v>
      </c>
      <c r="O416" s="51" t="n">
        <v>-22.5216</v>
      </c>
      <c r="P416" s="51" t="n">
        <v>-89.20489999999999</v>
      </c>
      <c r="Q416" s="51" t="n">
        <v>53.848</v>
      </c>
      <c r="R416" s="51" t="n">
        <v>-5.6668</v>
      </c>
      <c r="S416" s="52">
        <f>IF($I416="Yes",$O416,"")</f>
        <v/>
      </c>
    </row>
    <row r="417">
      <c r="A417" s="43" t="inlineStr">
        <is>
          <t>RJF</t>
        </is>
      </c>
      <c r="B417" s="44" t="inlineStr">
        <is>
          <t>Raymond James Financial, Inc.</t>
        </is>
      </c>
      <c r="C417" s="44" t="inlineStr">
        <is>
          <t>US</t>
        </is>
      </c>
      <c r="D417" s="44" t="inlineStr">
        <is>
          <t>S&amp;P 500</t>
        </is>
      </c>
      <c r="E417" s="44" t="inlineStr">
        <is>
          <t>Financial Services</t>
        </is>
      </c>
      <c r="F417" s="45" t="n">
        <v>33942149120</v>
      </c>
      <c r="G417" s="44" t="inlineStr">
        <is>
          <t>nightly refresh</t>
        </is>
      </c>
      <c r="H417" s="43" t="n">
        <v>301</v>
      </c>
      <c r="I417" s="44" t="inlineStr">
        <is>
          <t>No</t>
        </is>
      </c>
      <c r="J417" s="44" t="inlineStr">
        <is>
          <t>1983-07-01</t>
        </is>
      </c>
      <c r="K417" s="43" t="n">
        <v>6701</v>
      </c>
      <c r="L417" s="44" t="inlineStr">
        <is>
          <t>2000-01-03</t>
        </is>
      </c>
      <c r="M417" s="44" t="inlineStr">
        <is>
          <t>2026-08-25</t>
        </is>
      </c>
      <c r="N417" s="43" t="n">
        <v>363</v>
      </c>
      <c r="O417" s="46" t="n">
        <v>-18.1918</v>
      </c>
      <c r="P417" s="46" t="n">
        <v>-69.676</v>
      </c>
      <c r="Q417" s="46" t="n">
        <v>50.7809</v>
      </c>
      <c r="R417" s="46" t="n">
        <v>-4.389</v>
      </c>
      <c r="S417" s="47">
        <f>IF($I417="Yes",$O417,"")</f>
        <v/>
      </c>
    </row>
    <row r="418">
      <c r="A418" s="48" t="inlineStr">
        <is>
          <t>SCHW</t>
        </is>
      </c>
      <c r="B418" s="49" t="inlineStr">
        <is>
          <t>The Charles Schwab Corporation</t>
        </is>
      </c>
      <c r="C418" s="49" t="inlineStr">
        <is>
          <t>US</t>
        </is>
      </c>
      <c r="D418" s="49" t="inlineStr">
        <is>
          <t>S&amp;P 500</t>
        </is>
      </c>
      <c r="E418" s="49" t="inlineStr">
        <is>
          <t>Financial Services</t>
        </is>
      </c>
      <c r="F418" s="50" t="n">
        <v>189172023296</v>
      </c>
      <c r="G418" s="49" t="inlineStr">
        <is>
          <t>nightly refresh</t>
        </is>
      </c>
      <c r="H418" s="48" t="n">
        <v>67</v>
      </c>
      <c r="I418" s="49" t="inlineStr">
        <is>
          <t>No</t>
        </is>
      </c>
      <c r="J418" s="49" t="inlineStr">
        <is>
          <t>1987-09-22</t>
        </is>
      </c>
      <c r="K418" s="48" t="n">
        <v>6701</v>
      </c>
      <c r="L418" s="49" t="inlineStr">
        <is>
          <t>2000-01-03</t>
        </is>
      </c>
      <c r="M418" s="49" t="inlineStr">
        <is>
          <t>2026-08-25</t>
        </is>
      </c>
      <c r="N418" s="48" t="n">
        <v>376</v>
      </c>
      <c r="O418" s="51" t="n">
        <v>-23.6323</v>
      </c>
      <c r="P418" s="51" t="n">
        <v>-75.7484</v>
      </c>
      <c r="Q418" s="51" t="n">
        <v>48.6804</v>
      </c>
      <c r="R418" s="51" t="n">
        <v>-1.9733</v>
      </c>
      <c r="S418" s="52">
        <f>IF($I418="Yes",$O418,"")</f>
        <v/>
      </c>
    </row>
    <row r="419">
      <c r="A419" s="43" t="inlineStr">
        <is>
          <t>SPGI</t>
        </is>
      </c>
      <c r="B419" s="44" t="inlineStr">
        <is>
          <t>S&amp;P Global Inc.</t>
        </is>
      </c>
      <c r="C419" s="44" t="inlineStr">
        <is>
          <t>US</t>
        </is>
      </c>
      <c r="D419" s="44" t="inlineStr">
        <is>
          <t>S&amp;P 500</t>
        </is>
      </c>
      <c r="E419" s="44" t="inlineStr">
        <is>
          <t>Financial Services</t>
        </is>
      </c>
      <c r="F419" s="45" t="n">
        <v>128677249024</v>
      </c>
      <c r="G419" s="44" t="inlineStr">
        <is>
          <t>nightly refresh</t>
        </is>
      </c>
      <c r="H419" s="43" t="n">
        <v>100</v>
      </c>
      <c r="I419" s="44" t="inlineStr">
        <is>
          <t>No</t>
        </is>
      </c>
      <c r="J419" s="44" t="inlineStr">
        <is>
          <t>1973-02-21</t>
        </is>
      </c>
      <c r="K419" s="43" t="n">
        <v>6701</v>
      </c>
      <c r="L419" s="44" t="inlineStr">
        <is>
          <t>2000-01-03</t>
        </is>
      </c>
      <c r="M419" s="44" t="inlineStr">
        <is>
          <t>2026-08-25</t>
        </is>
      </c>
      <c r="N419" s="43" t="n">
        <v>294</v>
      </c>
      <c r="O419" s="46" t="n">
        <v>-17.0428</v>
      </c>
      <c r="P419" s="46" t="n">
        <v>-62.2589</v>
      </c>
      <c r="Q419" s="46" t="n">
        <v>42.0825</v>
      </c>
      <c r="R419" s="46" t="n">
        <v>-17.1527</v>
      </c>
      <c r="S419" s="47">
        <f>IF($I419="Yes",$O419,"")</f>
        <v/>
      </c>
    </row>
    <row r="420">
      <c r="A420" s="48" t="inlineStr">
        <is>
          <t>STT</t>
        </is>
      </c>
      <c r="B420" s="49" t="inlineStr">
        <is>
          <t>State Street Corporation</t>
        </is>
      </c>
      <c r="C420" s="49" t="inlineStr">
        <is>
          <t>US</t>
        </is>
      </c>
      <c r="D420" s="49" t="inlineStr">
        <is>
          <t>S&amp;P 500</t>
        </is>
      </c>
      <c r="E420" s="49" t="inlineStr">
        <is>
          <t>Financial Services</t>
        </is>
      </c>
      <c r="F420" s="50" t="n">
        <v>53187751936</v>
      </c>
      <c r="G420" s="49" t="inlineStr">
        <is>
          <t>nightly refresh</t>
        </is>
      </c>
      <c r="H420" s="48" t="n">
        <v>230</v>
      </c>
      <c r="I420" s="49" t="inlineStr">
        <is>
          <t>No</t>
        </is>
      </c>
      <c r="J420" s="49" t="inlineStr">
        <is>
          <t>1980-03-17</t>
        </is>
      </c>
      <c r="K420" s="48" t="n">
        <v>6701</v>
      </c>
      <c r="L420" s="49" t="inlineStr">
        <is>
          <t>2000-01-03</t>
        </is>
      </c>
      <c r="M420" s="49" t="inlineStr">
        <is>
          <t>2026-08-25</t>
        </is>
      </c>
      <c r="N420" s="48" t="n">
        <v>371</v>
      </c>
      <c r="O420" s="51" t="n">
        <v>-20.0543</v>
      </c>
      <c r="P420" s="51" t="n">
        <v>-82.3364</v>
      </c>
      <c r="Q420" s="51" t="n">
        <v>51.2223</v>
      </c>
      <c r="R420" s="51" t="n">
        <v>-1.1425</v>
      </c>
      <c r="S420" s="52">
        <f>IF($I420="Yes",$O420,"")</f>
        <v/>
      </c>
    </row>
    <row r="421">
      <c r="A421" s="43" t="inlineStr">
        <is>
          <t>SYF</t>
        </is>
      </c>
      <c r="B421" s="44" t="inlineStr">
        <is>
          <t>Synchrony Financial</t>
        </is>
      </c>
      <c r="C421" s="44" t="inlineStr">
        <is>
          <t>US</t>
        </is>
      </c>
      <c r="D421" s="44" t="inlineStr">
        <is>
          <t>S&amp;P 500</t>
        </is>
      </c>
      <c r="E421" s="44" t="inlineStr">
        <is>
          <t>Financial Services</t>
        </is>
      </c>
      <c r="F421" s="45" t="n">
        <v>25958086656</v>
      </c>
      <c r="G421" s="44" t="inlineStr">
        <is>
          <t>nightly refresh</t>
        </is>
      </c>
      <c r="H421" s="43" t="n">
        <v>355</v>
      </c>
      <c r="I421" s="44" t="inlineStr">
        <is>
          <t>No</t>
        </is>
      </c>
      <c r="J421" s="44" t="inlineStr">
        <is>
          <t>2014-07-31</t>
        </is>
      </c>
      <c r="K421" s="43" t="n">
        <v>3035</v>
      </c>
      <c r="L421" s="44" t="inlineStr">
        <is>
          <t>2014-07-31</t>
        </is>
      </c>
      <c r="M421" s="44" t="inlineStr">
        <is>
          <t>2026-08-25</t>
        </is>
      </c>
      <c r="N421" s="43" t="n">
        <v>161</v>
      </c>
      <c r="O421" s="46" t="n">
        <v>-19.6655</v>
      </c>
      <c r="P421" s="46" t="n">
        <v>-66.2525</v>
      </c>
      <c r="Q421" s="46" t="n">
        <v>60.1156</v>
      </c>
      <c r="R421" s="46" t="n">
        <v>-8.271000000000001</v>
      </c>
      <c r="S421" s="47">
        <f>IF($I421="Yes",$O421,"")</f>
        <v/>
      </c>
    </row>
    <row r="422">
      <c r="A422" s="48" t="inlineStr">
        <is>
          <t>TFC</t>
        </is>
      </c>
      <c r="B422" s="49" t="inlineStr">
        <is>
          <t>Truist Financial Corporation</t>
        </is>
      </c>
      <c r="C422" s="49" t="inlineStr">
        <is>
          <t>US</t>
        </is>
      </c>
      <c r="D422" s="49" t="inlineStr">
        <is>
          <t>S&amp;P 500</t>
        </is>
      </c>
      <c r="E422" s="49" t="inlineStr">
        <is>
          <t>Financial Services</t>
        </is>
      </c>
      <c r="F422" s="50" t="n">
        <v>61899800576</v>
      </c>
      <c r="G422" s="49" t="inlineStr">
        <is>
          <t>nightly refresh</t>
        </is>
      </c>
      <c r="H422" s="48" t="n">
        <v>200</v>
      </c>
      <c r="I422" s="49" t="inlineStr">
        <is>
          <t>No</t>
        </is>
      </c>
      <c r="J422" s="49" t="inlineStr">
        <is>
          <t>1980-03-18</t>
        </is>
      </c>
      <c r="K422" s="48" t="n">
        <v>6701</v>
      </c>
      <c r="L422" s="49" t="inlineStr">
        <is>
          <t>2000-01-03</t>
        </is>
      </c>
      <c r="M422" s="49" t="inlineStr">
        <is>
          <t>2026-08-25</t>
        </is>
      </c>
      <c r="N422" s="48" t="n">
        <v>346</v>
      </c>
      <c r="O422" s="51" t="n">
        <v>-17.8304</v>
      </c>
      <c r="P422" s="51" t="n">
        <v>-69.6396</v>
      </c>
      <c r="Q422" s="51" t="n">
        <v>38.3809</v>
      </c>
      <c r="R422" s="51" t="n">
        <v>-8.6403</v>
      </c>
      <c r="S422" s="52">
        <f>IF($I422="Yes",$O422,"")</f>
        <v/>
      </c>
    </row>
    <row r="423">
      <c r="A423" s="43" t="inlineStr">
        <is>
          <t>TROW</t>
        </is>
      </c>
      <c r="B423" s="44" t="inlineStr">
        <is>
          <t>T. Rowe Price Group, Inc.</t>
        </is>
      </c>
      <c r="C423" s="44" t="inlineStr">
        <is>
          <t>US</t>
        </is>
      </c>
      <c r="D423" s="44" t="inlineStr">
        <is>
          <t>S&amp;P 500</t>
        </is>
      </c>
      <c r="E423" s="44" t="inlineStr">
        <is>
          <t>Financial Services</t>
        </is>
      </c>
      <c r="F423" s="45" t="n">
        <v>24008699904</v>
      </c>
      <c r="G423" s="44" t="inlineStr">
        <is>
          <t>nightly refresh</t>
        </is>
      </c>
      <c r="H423" s="43" t="n">
        <v>377</v>
      </c>
      <c r="I423" s="44" t="inlineStr">
        <is>
          <t>No</t>
        </is>
      </c>
      <c r="J423" s="44" t="inlineStr">
        <is>
          <t>1986-04-02</t>
        </is>
      </c>
      <c r="K423" s="43" t="n">
        <v>6701</v>
      </c>
      <c r="L423" s="44" t="inlineStr">
        <is>
          <t>2000-01-03</t>
        </is>
      </c>
      <c r="M423" s="44" t="inlineStr">
        <is>
          <t>2026-08-25</t>
        </is>
      </c>
      <c r="N423" s="43" t="n">
        <v>352</v>
      </c>
      <c r="O423" s="46" t="n">
        <v>-18.8327</v>
      </c>
      <c r="P423" s="46" t="n">
        <v>-69.83969999999999</v>
      </c>
      <c r="Q423" s="46" t="n">
        <v>43.6916</v>
      </c>
      <c r="R423" s="46" t="n">
        <v>-7.4836</v>
      </c>
      <c r="S423" s="47">
        <f>IF($I423="Yes",$O423,"")</f>
        <v/>
      </c>
    </row>
    <row r="424">
      <c r="A424" s="48" t="inlineStr">
        <is>
          <t>TRV</t>
        </is>
      </c>
      <c r="B424" s="49" t="inlineStr">
        <is>
          <t>The Travelers Companies, Inc.</t>
        </is>
      </c>
      <c r="C424" s="49" t="inlineStr">
        <is>
          <t>US</t>
        </is>
      </c>
      <c r="D424" s="49" t="inlineStr">
        <is>
          <t>S&amp;P 500</t>
        </is>
      </c>
      <c r="E424" s="49" t="inlineStr">
        <is>
          <t>Financial Services</t>
        </is>
      </c>
      <c r="F424" s="50" t="n">
        <v>77412622336</v>
      </c>
      <c r="G424" s="49" t="inlineStr">
        <is>
          <t>nightly refresh</t>
        </is>
      </c>
      <c r="H424" s="48" t="n">
        <v>172</v>
      </c>
      <c r="I424" s="49" t="inlineStr">
        <is>
          <t>No</t>
        </is>
      </c>
      <c r="J424" s="49" t="inlineStr">
        <is>
          <t>1975-11-17</t>
        </is>
      </c>
      <c r="K424" s="48" t="n">
        <v>6701</v>
      </c>
      <c r="L424" s="49" t="inlineStr">
        <is>
          <t>2000-01-03</t>
        </is>
      </c>
      <c r="M424" s="49" t="inlineStr">
        <is>
          <t>2026-08-25</t>
        </is>
      </c>
      <c r="N424" s="48" t="n">
        <v>313</v>
      </c>
      <c r="O424" s="51" t="n">
        <v>-14.9623</v>
      </c>
      <c r="P424" s="51" t="n">
        <v>-52.1797</v>
      </c>
      <c r="Q424" s="51" t="n">
        <v>38.1468</v>
      </c>
      <c r="R424" s="51" t="n">
        <v>-7.2837</v>
      </c>
      <c r="S424" s="52">
        <f>IF($I424="Yes",$O424,"")</f>
        <v/>
      </c>
    </row>
    <row r="425">
      <c r="A425" s="43" t="inlineStr">
        <is>
          <t>USB</t>
        </is>
      </c>
      <c r="B425" s="44" t="inlineStr">
        <is>
          <t>U.S. Bancorp</t>
        </is>
      </c>
      <c r="C425" s="44" t="inlineStr">
        <is>
          <t>US</t>
        </is>
      </c>
      <c r="D425" s="44" t="inlineStr">
        <is>
          <t>S&amp;P 500</t>
        </is>
      </c>
      <c r="E425" s="44" t="inlineStr">
        <is>
          <t>Financial Services</t>
        </is>
      </c>
      <c r="F425" s="45" t="n">
        <v>97845633024</v>
      </c>
      <c r="G425" s="44" t="inlineStr">
        <is>
          <t>nightly refresh</t>
        </is>
      </c>
      <c r="H425" s="43" t="n">
        <v>128</v>
      </c>
      <c r="I425" s="44" t="inlineStr">
        <is>
          <t>No</t>
        </is>
      </c>
      <c r="J425" s="44" t="inlineStr">
        <is>
          <t>1973-05-03</t>
        </is>
      </c>
      <c r="K425" s="43" t="n">
        <v>6701</v>
      </c>
      <c r="L425" s="44" t="inlineStr">
        <is>
          <t>2000-01-03</t>
        </is>
      </c>
      <c r="M425" s="44" t="inlineStr">
        <is>
          <t>2026-08-25</t>
        </is>
      </c>
      <c r="N425" s="43" t="n">
        <v>321</v>
      </c>
      <c r="O425" s="46" t="n">
        <v>-18.0964</v>
      </c>
      <c r="P425" s="46" t="n">
        <v>-78.4828</v>
      </c>
      <c r="Q425" s="46" t="n">
        <v>40.9475</v>
      </c>
      <c r="R425" s="46" t="n">
        <v>-5.5539</v>
      </c>
      <c r="S425" s="47">
        <f>IF($I425="Yes",$O425,"")</f>
        <v/>
      </c>
    </row>
    <row r="426">
      <c r="A426" s="48" t="inlineStr">
        <is>
          <t>V</t>
        </is>
      </c>
      <c r="B426" s="49" t="inlineStr">
        <is>
          <t>Visa Inc.</t>
        </is>
      </c>
      <c r="C426" s="49" t="inlineStr">
        <is>
          <t>US</t>
        </is>
      </c>
      <c r="D426" s="49" t="inlineStr">
        <is>
          <t>S&amp;P 500</t>
        </is>
      </c>
      <c r="E426" s="49" t="inlineStr">
        <is>
          <t>Financial Services</t>
        </is>
      </c>
      <c r="F426" s="50" t="n">
        <v>716759433216</v>
      </c>
      <c r="G426" s="49" t="inlineStr">
        <is>
          <t>nightly refresh</t>
        </is>
      </c>
      <c r="H426" s="48" t="n">
        <v>16</v>
      </c>
      <c r="I426" s="49" t="inlineStr">
        <is>
          <t>Yes</t>
        </is>
      </c>
      <c r="J426" s="49" t="inlineStr">
        <is>
          <t>2008-03-19</t>
        </is>
      </c>
      <c r="K426" s="48" t="n">
        <v>4638</v>
      </c>
      <c r="L426" s="49" t="inlineStr">
        <is>
          <t>2008-03-19</t>
        </is>
      </c>
      <c r="M426" s="49" t="inlineStr">
        <is>
          <t>2026-08-25</t>
        </is>
      </c>
      <c r="N426" s="48" t="n">
        <v>189</v>
      </c>
      <c r="O426" s="51" t="n">
        <v>-14.0965</v>
      </c>
      <c r="P426" s="51" t="n">
        <v>-52.622</v>
      </c>
      <c r="Q426" s="51" t="n">
        <v>39.8698</v>
      </c>
      <c r="R426" s="51" t="n">
        <v>-0.0156</v>
      </c>
      <c r="S426" s="52">
        <f>IF($I426="Yes",$O426,"")</f>
        <v/>
      </c>
    </row>
    <row r="427">
      <c r="A427" s="43" t="inlineStr">
        <is>
          <t>WFC</t>
        </is>
      </c>
      <c r="B427" s="44" t="inlineStr">
        <is>
          <t>Wells Fargo &amp; Company</t>
        </is>
      </c>
      <c r="C427" s="44" t="inlineStr">
        <is>
          <t>US</t>
        </is>
      </c>
      <c r="D427" s="44" t="inlineStr">
        <is>
          <t>S&amp;P 500</t>
        </is>
      </c>
      <c r="E427" s="44" t="inlineStr">
        <is>
          <t>Financial Services</t>
        </is>
      </c>
      <c r="F427" s="45" t="n">
        <v>257735458816</v>
      </c>
      <c r="G427" s="44" t="inlineStr">
        <is>
          <t>nightly refresh</t>
        </is>
      </c>
      <c r="H427" s="43" t="n">
        <v>44</v>
      </c>
      <c r="I427" s="44" t="inlineStr">
        <is>
          <t>Yes</t>
        </is>
      </c>
      <c r="J427" s="44" t="inlineStr">
        <is>
          <t>1972-06-01</t>
        </is>
      </c>
      <c r="K427" s="43" t="n">
        <v>6701</v>
      </c>
      <c r="L427" s="44" t="inlineStr">
        <is>
          <t>2000-01-03</t>
        </is>
      </c>
      <c r="M427" s="44" t="inlineStr">
        <is>
          <t>2026-08-25</t>
        </is>
      </c>
      <c r="N427" s="43" t="n">
        <v>311</v>
      </c>
      <c r="O427" s="46" t="n">
        <v>-19.4559</v>
      </c>
      <c r="P427" s="46" t="n">
        <v>-81.3348</v>
      </c>
      <c r="Q427" s="46" t="n">
        <v>43.6905</v>
      </c>
      <c r="R427" s="46" t="n">
        <v>-12.3426</v>
      </c>
      <c r="S427" s="47">
        <f>IF($I427="Yes",$O427,"")</f>
        <v/>
      </c>
    </row>
    <row r="428">
      <c r="A428" s="48" t="inlineStr">
        <is>
          <t>WRB</t>
        </is>
      </c>
      <c r="B428" s="49" t="inlineStr">
        <is>
          <t>W. R. Berkley Corporation</t>
        </is>
      </c>
      <c r="C428" s="49" t="inlineStr">
        <is>
          <t>US</t>
        </is>
      </c>
      <c r="D428" s="49" t="inlineStr">
        <is>
          <t>S&amp;P 500</t>
        </is>
      </c>
      <c r="E428" s="49" t="inlineStr">
        <is>
          <t>Financial Services</t>
        </is>
      </c>
      <c r="F428" s="50" t="n">
        <v>25492193280</v>
      </c>
      <c r="G428" s="49" t="inlineStr">
        <is>
          <t>nightly refresh</t>
        </is>
      </c>
      <c r="H428" s="48" t="n">
        <v>356</v>
      </c>
      <c r="I428" s="49" t="inlineStr">
        <is>
          <t>No</t>
        </is>
      </c>
      <c r="J428" s="49" t="inlineStr">
        <is>
          <t>1973-10-23</t>
        </is>
      </c>
      <c r="K428" s="48" t="n">
        <v>6701</v>
      </c>
      <c r="L428" s="49" t="inlineStr">
        <is>
          <t>2000-01-03</t>
        </is>
      </c>
      <c r="M428" s="49" t="inlineStr">
        <is>
          <t>2026-08-25</t>
        </is>
      </c>
      <c r="N428" s="48" t="n">
        <v>311</v>
      </c>
      <c r="O428" s="51" t="n">
        <v>-13.7747</v>
      </c>
      <c r="P428" s="51" t="n">
        <v>-45.6466</v>
      </c>
      <c r="Q428" s="51" t="n">
        <v>39.3703</v>
      </c>
      <c r="R428" s="51" t="n">
        <v>-11.7755</v>
      </c>
      <c r="S428" s="52">
        <f>IF($I428="Yes",$O428,"")</f>
        <v/>
      </c>
    </row>
    <row r="429">
      <c r="A429" s="43" t="inlineStr">
        <is>
          <t>WTW</t>
        </is>
      </c>
      <c r="B429" s="44" t="inlineStr">
        <is>
          <t>Willis Towers Watson Public Limited Company</t>
        </is>
      </c>
      <c r="C429" s="44" t="inlineStr">
        <is>
          <t>US</t>
        </is>
      </c>
      <c r="D429" s="44" t="inlineStr">
        <is>
          <t>S&amp;P 500</t>
        </is>
      </c>
      <c r="E429" s="44" t="inlineStr">
        <is>
          <t>Financial Services</t>
        </is>
      </c>
      <c r="F429" s="45" t="n">
        <v>31866218496</v>
      </c>
      <c r="G429" s="44" t="inlineStr">
        <is>
          <t>nightly refresh</t>
        </is>
      </c>
      <c r="H429" s="43" t="n">
        <v>312</v>
      </c>
      <c r="I429" s="44" t="inlineStr">
        <is>
          <t>No</t>
        </is>
      </c>
      <c r="J429" s="44" t="inlineStr">
        <is>
          <t>2001-06-12</t>
        </is>
      </c>
      <c r="K429" s="43" t="n">
        <v>6338</v>
      </c>
      <c r="L429" s="44" t="inlineStr">
        <is>
          <t>2001-06-12</t>
        </is>
      </c>
      <c r="M429" s="44" t="inlineStr">
        <is>
          <t>2026-08-25</t>
        </is>
      </c>
      <c r="N429" s="43" t="n">
        <v>331</v>
      </c>
      <c r="O429" s="46" t="n">
        <v>-14.62</v>
      </c>
      <c r="P429" s="46" t="n">
        <v>-50.6394</v>
      </c>
      <c r="Q429" s="46" t="n">
        <v>30.7217</v>
      </c>
      <c r="R429" s="46" t="n">
        <v>-1.3342</v>
      </c>
      <c r="S429" s="47">
        <f>IF($I429="Yes",$O429,"")</f>
        <v/>
      </c>
    </row>
    <row r="430">
      <c r="A430" s="48" t="inlineStr">
        <is>
          <t>A</t>
        </is>
      </c>
      <c r="B430" s="49" t="inlineStr">
        <is>
          <t>Agilent Technologies, Inc.</t>
        </is>
      </c>
      <c r="C430" s="49" t="inlineStr">
        <is>
          <t>US</t>
        </is>
      </c>
      <c r="D430" s="49" t="inlineStr">
        <is>
          <t>S&amp;P 500</t>
        </is>
      </c>
      <c r="E430" s="49" t="inlineStr">
        <is>
          <t>Healthcare</t>
        </is>
      </c>
      <c r="F430" s="50" t="n">
        <v>43799543808</v>
      </c>
      <c r="G430" s="49" t="inlineStr">
        <is>
          <t>nightly refresh</t>
        </is>
      </c>
      <c r="H430" s="48" t="n">
        <v>258</v>
      </c>
      <c r="I430" s="49" t="inlineStr">
        <is>
          <t>No</t>
        </is>
      </c>
      <c r="J430" s="49" t="inlineStr">
        <is>
          <t>1999-11-18</t>
        </is>
      </c>
      <c r="K430" s="48" t="n">
        <v>6701</v>
      </c>
      <c r="L430" s="49" t="inlineStr">
        <is>
          <t>2000-01-03</t>
        </is>
      </c>
      <c r="M430" s="49" t="inlineStr">
        <is>
          <t>2026-08-25</t>
        </is>
      </c>
      <c r="N430" s="48" t="n">
        <v>357</v>
      </c>
      <c r="O430" s="51" t="n">
        <v>-25.277</v>
      </c>
      <c r="P430" s="51" t="n">
        <v>-77.7778</v>
      </c>
      <c r="Q430" s="51" t="n">
        <v>46.9179</v>
      </c>
      <c r="R430" s="51" t="n">
        <v>-3.5761</v>
      </c>
      <c r="S430" s="52">
        <f>IF($I430="Yes",$O430,"")</f>
        <v/>
      </c>
    </row>
    <row r="431">
      <c r="A431" s="43" t="inlineStr">
        <is>
          <t>ABBV</t>
        </is>
      </c>
      <c r="B431" s="44" t="inlineStr">
        <is>
          <t>AbbVie Inc.</t>
        </is>
      </c>
      <c r="C431" s="44" t="inlineStr">
        <is>
          <t>US</t>
        </is>
      </c>
      <c r="D431" s="44" t="inlineStr">
        <is>
          <t>S&amp;P 500</t>
        </is>
      </c>
      <c r="E431" s="44" t="inlineStr">
        <is>
          <t>Healthcare</t>
        </is>
      </c>
      <c r="F431" s="45" t="n">
        <v>464575135744</v>
      </c>
      <c r="G431" s="44" t="inlineStr">
        <is>
          <t>nightly refresh</t>
        </is>
      </c>
      <c r="H431" s="43" t="n">
        <v>21</v>
      </c>
      <c r="I431" s="44" t="inlineStr">
        <is>
          <t>Yes</t>
        </is>
      </c>
      <c r="J431" s="44" t="inlineStr">
        <is>
          <t>2013-01-02</t>
        </is>
      </c>
      <c r="K431" s="43" t="n">
        <v>3432</v>
      </c>
      <c r="L431" s="44" t="inlineStr">
        <is>
          <t>2013-01-02</t>
        </is>
      </c>
      <c r="M431" s="44" t="inlineStr">
        <is>
          <t>2026-08-25</t>
        </is>
      </c>
      <c r="N431" s="43" t="n">
        <v>161</v>
      </c>
      <c r="O431" s="46" t="n">
        <v>-14.959</v>
      </c>
      <c r="P431" s="46" t="n">
        <v>-36.1912</v>
      </c>
      <c r="Q431" s="46" t="n">
        <v>40.6655</v>
      </c>
      <c r="R431" s="46" t="n">
        <v>-0.6281</v>
      </c>
      <c r="S431" s="47">
        <f>IF($I431="Yes",$O431,"")</f>
        <v/>
      </c>
    </row>
    <row r="432">
      <c r="A432" s="48" t="inlineStr">
        <is>
          <t>ABT</t>
        </is>
      </c>
      <c r="B432" s="49" t="inlineStr">
        <is>
          <t>Abbott Laboratories</t>
        </is>
      </c>
      <c r="C432" s="49" t="inlineStr">
        <is>
          <t>US</t>
        </is>
      </c>
      <c r="D432" s="49" t="inlineStr">
        <is>
          <t>S&amp;P 500</t>
        </is>
      </c>
      <c r="E432" s="49" t="inlineStr">
        <is>
          <t>Healthcare</t>
        </is>
      </c>
      <c r="F432" s="50" t="n">
        <v>197436735488</v>
      </c>
      <c r="G432" s="49" t="inlineStr">
        <is>
          <t>nightly refresh</t>
        </is>
      </c>
      <c r="H432" s="48" t="n">
        <v>60</v>
      </c>
      <c r="I432" s="49" t="inlineStr">
        <is>
          <t>Yes</t>
        </is>
      </c>
      <c r="J432" s="49" t="inlineStr">
        <is>
          <t>1980-03-17</t>
        </is>
      </c>
      <c r="K432" s="48" t="n">
        <v>6701</v>
      </c>
      <c r="L432" s="49" t="inlineStr">
        <is>
          <t>2000-01-03</t>
        </is>
      </c>
      <c r="M432" s="49" t="inlineStr">
        <is>
          <t>2026-08-25</t>
        </is>
      </c>
      <c r="N432" s="48" t="n">
        <v>314</v>
      </c>
      <c r="O432" s="51" t="n">
        <v>-14.4011</v>
      </c>
      <c r="P432" s="51" t="n">
        <v>-45.9459</v>
      </c>
      <c r="Q432" s="51" t="n">
        <v>30.3033</v>
      </c>
      <c r="R432" s="51" t="n">
        <v>-14.1954</v>
      </c>
      <c r="S432" s="52">
        <f>IF($I432="Yes",$O432,"")</f>
        <v/>
      </c>
    </row>
    <row r="433">
      <c r="A433" s="43" t="inlineStr">
        <is>
          <t>ALGN</t>
        </is>
      </c>
      <c r="B433" s="44" t="inlineStr">
        <is>
          <t>Align Technology, Inc.</t>
        </is>
      </c>
      <c r="C433" s="44" t="inlineStr">
        <is>
          <t>US</t>
        </is>
      </c>
      <c r="D433" s="44" t="inlineStr">
        <is>
          <t>S&amp;P 500</t>
        </is>
      </c>
      <c r="E433" s="44" t="inlineStr">
        <is>
          <t>Healthcare</t>
        </is>
      </c>
      <c r="F433" s="45" t="n">
        <v>11305282560</v>
      </c>
      <c r="G433" s="44" t="inlineStr">
        <is>
          <t>nightly refresh</t>
        </is>
      </c>
      <c r="H433" s="43" t="n">
        <v>482</v>
      </c>
      <c r="I433" s="44" t="inlineStr">
        <is>
          <t>No</t>
        </is>
      </c>
      <c r="J433" s="44" t="inlineStr">
        <is>
          <t>2001-01-30</t>
        </is>
      </c>
      <c r="K433" s="43" t="n">
        <v>6430</v>
      </c>
      <c r="L433" s="44" t="inlineStr">
        <is>
          <t>2001-01-30</t>
        </is>
      </c>
      <c r="M433" s="44" t="inlineStr">
        <is>
          <t>2026-08-25</t>
        </is>
      </c>
      <c r="N433" s="43" t="n">
        <v>374</v>
      </c>
      <c r="O433" s="46" t="n">
        <v>-31.7919</v>
      </c>
      <c r="P433" s="46" t="n">
        <v>-88.0137</v>
      </c>
      <c r="Q433" s="46" t="n">
        <v>117.2692</v>
      </c>
      <c r="R433" s="46" t="n">
        <v>-20.3702</v>
      </c>
      <c r="S433" s="47">
        <f>IF($I433="Yes",$O433,"")</f>
        <v/>
      </c>
    </row>
    <row r="434">
      <c r="A434" s="48" t="inlineStr">
        <is>
          <t>AMGN</t>
        </is>
      </c>
      <c r="B434" s="49" t="inlineStr">
        <is>
          <t>Amgen Inc.</t>
        </is>
      </c>
      <c r="C434" s="49" t="inlineStr">
        <is>
          <t>US</t>
        </is>
      </c>
      <c r="D434" s="49" t="inlineStr">
        <is>
          <t>S&amp;P 500</t>
        </is>
      </c>
      <c r="E434" s="49" t="inlineStr">
        <is>
          <t>Healthcare</t>
        </is>
      </c>
      <c r="F434" s="50" t="n">
        <v>238061895680</v>
      </c>
      <c r="G434" s="49" t="inlineStr">
        <is>
          <t>nightly refresh</t>
        </is>
      </c>
      <c r="H434" s="48" t="n">
        <v>49</v>
      </c>
      <c r="I434" s="49" t="inlineStr">
        <is>
          <t>Yes</t>
        </is>
      </c>
      <c r="J434" s="49" t="inlineStr">
        <is>
          <t>1983-06-17</t>
        </is>
      </c>
      <c r="K434" s="48" t="n">
        <v>6701</v>
      </c>
      <c r="L434" s="49" t="inlineStr">
        <is>
          <t>2000-01-03</t>
        </is>
      </c>
      <c r="M434" s="49" t="inlineStr">
        <is>
          <t>2026-08-25</t>
        </is>
      </c>
      <c r="N434" s="48" t="n">
        <v>362</v>
      </c>
      <c r="O434" s="51" t="n">
        <v>-16.5893</v>
      </c>
      <c r="P434" s="51" t="n">
        <v>-54.971</v>
      </c>
      <c r="Q434" s="51" t="n">
        <v>34.447</v>
      </c>
      <c r="R434" s="51" t="n">
        <v>-1.0671</v>
      </c>
      <c r="S434" s="52">
        <f>IF($I434="Yes",$O434,"")</f>
        <v/>
      </c>
    </row>
    <row r="435">
      <c r="A435" s="43" t="inlineStr">
        <is>
          <t>BAX</t>
        </is>
      </c>
      <c r="B435" s="44" t="inlineStr">
        <is>
          <t>Baxter International Inc.</t>
        </is>
      </c>
      <c r="C435" s="44" t="inlineStr">
        <is>
          <t>US</t>
        </is>
      </c>
      <c r="D435" s="44" t="inlineStr">
        <is>
          <t>S&amp;P 500</t>
        </is>
      </c>
      <c r="E435" s="44" t="inlineStr">
        <is>
          <t>Healthcare</t>
        </is>
      </c>
      <c r="F435" s="45" t="n">
        <v>13700393984</v>
      </c>
      <c r="G435" s="44" t="inlineStr">
        <is>
          <t>nightly refresh</t>
        </is>
      </c>
      <c r="H435" s="43" t="n">
        <v>458</v>
      </c>
      <c r="I435" s="44" t="inlineStr">
        <is>
          <t>No</t>
        </is>
      </c>
      <c r="J435" s="44" t="inlineStr">
        <is>
          <t>1981-10-27</t>
        </is>
      </c>
      <c r="K435" s="43" t="n">
        <v>6701</v>
      </c>
      <c r="L435" s="44" t="inlineStr">
        <is>
          <t>2000-01-03</t>
        </is>
      </c>
      <c r="M435" s="44" t="inlineStr">
        <is>
          <t>2026-08-25</t>
        </is>
      </c>
      <c r="N435" s="43" t="n">
        <v>332</v>
      </c>
      <c r="O435" s="46" t="n">
        <v>-18.8398</v>
      </c>
      <c r="P435" s="46" t="n">
        <v>-68.3963</v>
      </c>
      <c r="Q435" s="46" t="n">
        <v>30.8139</v>
      </c>
      <c r="R435" s="46" t="n">
        <v>-12.3667</v>
      </c>
      <c r="S435" s="47">
        <f>IF($I435="Yes",$O435,"")</f>
        <v/>
      </c>
    </row>
    <row r="436">
      <c r="A436" s="48" t="inlineStr">
        <is>
          <t>BDX</t>
        </is>
      </c>
      <c r="B436" s="49" t="inlineStr">
        <is>
          <t>Becton, Dickinson and Company</t>
        </is>
      </c>
      <c r="C436" s="49" t="inlineStr">
        <is>
          <t>US</t>
        </is>
      </c>
      <c r="D436" s="49" t="inlineStr">
        <is>
          <t>S&amp;P 500</t>
        </is>
      </c>
      <c r="E436" s="49" t="inlineStr">
        <is>
          <t>Healthcare</t>
        </is>
      </c>
      <c r="F436" s="50" t="n">
        <v>51810697216</v>
      </c>
      <c r="G436" s="49" t="inlineStr">
        <is>
          <t>nightly refresh</t>
        </is>
      </c>
      <c r="H436" s="48" t="n">
        <v>233</v>
      </c>
      <c r="I436" s="49" t="inlineStr">
        <is>
          <t>No</t>
        </is>
      </c>
      <c r="J436" s="49" t="inlineStr">
        <is>
          <t>1973-02-21</t>
        </is>
      </c>
      <c r="K436" s="48" t="n">
        <v>6701</v>
      </c>
      <c r="L436" s="49" t="inlineStr">
        <is>
          <t>2000-01-03</t>
        </is>
      </c>
      <c r="M436" s="49" t="inlineStr">
        <is>
          <t>2026-08-25</t>
        </is>
      </c>
      <c r="N436" s="48" t="n">
        <v>334</v>
      </c>
      <c r="O436" s="51" t="n">
        <v>-13.8733</v>
      </c>
      <c r="P436" s="51" t="n">
        <v>-35.0361</v>
      </c>
      <c r="Q436" s="51" t="n">
        <v>27.6224</v>
      </c>
      <c r="R436" s="51" t="n">
        <v>-1.704</v>
      </c>
      <c r="S436" s="52">
        <f>IF($I436="Yes",$O436,"")</f>
        <v/>
      </c>
    </row>
    <row r="437">
      <c r="A437" s="43" t="inlineStr">
        <is>
          <t>BIIB</t>
        </is>
      </c>
      <c r="B437" s="44" t="inlineStr">
        <is>
          <t>Biogen Inc.</t>
        </is>
      </c>
      <c r="C437" s="44" t="inlineStr">
        <is>
          <t>US</t>
        </is>
      </c>
      <c r="D437" s="44" t="inlineStr">
        <is>
          <t>S&amp;P 500</t>
        </is>
      </c>
      <c r="E437" s="44" t="inlineStr">
        <is>
          <t>Healthcare</t>
        </is>
      </c>
      <c r="F437" s="45" t="n">
        <v>32663977984</v>
      </c>
      <c r="G437" s="44" t="inlineStr">
        <is>
          <t>nightly refresh</t>
        </is>
      </c>
      <c r="H437" s="43" t="n">
        <v>307</v>
      </c>
      <c r="I437" s="44" t="inlineStr">
        <is>
          <t>No</t>
        </is>
      </c>
      <c r="J437" s="44" t="inlineStr">
        <is>
          <t>1991-09-17</t>
        </is>
      </c>
      <c r="K437" s="43" t="n">
        <v>6701</v>
      </c>
      <c r="L437" s="44" t="inlineStr">
        <is>
          <t>2000-01-03</t>
        </is>
      </c>
      <c r="M437" s="44" t="inlineStr">
        <is>
          <t>2026-08-25</t>
        </is>
      </c>
      <c r="N437" s="43" t="n">
        <v>367</v>
      </c>
      <c r="O437" s="46" t="n">
        <v>-26.4256</v>
      </c>
      <c r="P437" s="46" t="n">
        <v>-66.8353</v>
      </c>
      <c r="Q437" s="46" t="n">
        <v>53.6399</v>
      </c>
      <c r="R437" s="46" t="n">
        <v>-0.9334</v>
      </c>
      <c r="S437" s="47">
        <f>IF($I437="Yes",$O437,"")</f>
        <v/>
      </c>
    </row>
    <row r="438">
      <c r="A438" s="48" t="inlineStr">
        <is>
          <t>BMY</t>
        </is>
      </c>
      <c r="B438" s="49" t="inlineStr">
        <is>
          <t>Bristol-Myers Squibb Company</t>
        </is>
      </c>
      <c r="C438" s="49" t="inlineStr">
        <is>
          <t>US</t>
        </is>
      </c>
      <c r="D438" s="49" t="inlineStr">
        <is>
          <t>S&amp;P 500</t>
        </is>
      </c>
      <c r="E438" s="49" t="inlineStr">
        <is>
          <t>Healthcare</t>
        </is>
      </c>
      <c r="F438" s="50" t="n">
        <v>138026221568</v>
      </c>
      <c r="G438" s="49" t="inlineStr">
        <is>
          <t>nightly refresh</t>
        </is>
      </c>
      <c r="H438" s="48" t="n">
        <v>91</v>
      </c>
      <c r="I438" s="49" t="inlineStr">
        <is>
          <t>No</t>
        </is>
      </c>
      <c r="J438" s="49" t="inlineStr">
        <is>
          <t>1972-06-01</t>
        </is>
      </c>
      <c r="K438" s="48" t="n">
        <v>6701</v>
      </c>
      <c r="L438" s="49" t="inlineStr">
        <is>
          <t>2000-01-03</t>
        </is>
      </c>
      <c r="M438" s="49" t="inlineStr">
        <is>
          <t>2026-08-25</t>
        </is>
      </c>
      <c r="N438" s="48" t="n">
        <v>337</v>
      </c>
      <c r="O438" s="51" t="n">
        <v>-19.2614</v>
      </c>
      <c r="P438" s="51" t="n">
        <v>-64.8968</v>
      </c>
      <c r="Q438" s="51" t="n">
        <v>31.7993</v>
      </c>
      <c r="R438" s="51" t="n">
        <v>-1.049</v>
      </c>
      <c r="S438" s="52">
        <f>IF($I438="Yes",$O438,"")</f>
        <v/>
      </c>
    </row>
    <row r="439">
      <c r="A439" s="43" t="inlineStr">
        <is>
          <t>BSX</t>
        </is>
      </c>
      <c r="B439" s="44" t="inlineStr">
        <is>
          <t>Boston Scientific Corporation</t>
        </is>
      </c>
      <c r="C439" s="44" t="inlineStr">
        <is>
          <t>US</t>
        </is>
      </c>
      <c r="D439" s="44" t="inlineStr">
        <is>
          <t>S&amp;P 500</t>
        </is>
      </c>
      <c r="E439" s="44" t="inlineStr">
        <is>
          <t>Healthcare</t>
        </is>
      </c>
      <c r="F439" s="45" t="n">
        <v>69809389568</v>
      </c>
      <c r="G439" s="44" t="inlineStr">
        <is>
          <t>nightly refresh</t>
        </is>
      </c>
      <c r="H439" s="43" t="n">
        <v>186</v>
      </c>
      <c r="I439" s="44" t="inlineStr">
        <is>
          <t>No</t>
        </is>
      </c>
      <c r="J439" s="44" t="inlineStr">
        <is>
          <t>1992-05-19</t>
        </is>
      </c>
      <c r="K439" s="43" t="n">
        <v>6701</v>
      </c>
      <c r="L439" s="44" t="inlineStr">
        <is>
          <t>2000-01-03</t>
        </is>
      </c>
      <c r="M439" s="44" t="inlineStr">
        <is>
          <t>2026-08-25</t>
        </is>
      </c>
      <c r="N439" s="43" t="n">
        <v>336</v>
      </c>
      <c r="O439" s="46" t="n">
        <v>-22.0749</v>
      </c>
      <c r="P439" s="46" t="n">
        <v>-61.4627</v>
      </c>
      <c r="Q439" s="46" t="n">
        <v>47.0929</v>
      </c>
      <c r="R439" s="46" t="n">
        <v>-54.4658</v>
      </c>
      <c r="S439" s="47">
        <f>IF($I439="Yes",$O439,"")</f>
        <v/>
      </c>
    </row>
    <row r="440">
      <c r="A440" s="48" t="inlineStr">
        <is>
          <t>CAH</t>
        </is>
      </c>
      <c r="B440" s="49" t="inlineStr">
        <is>
          <t>Cardinal Health, Inc.</t>
        </is>
      </c>
      <c r="C440" s="49" t="inlineStr">
        <is>
          <t>US</t>
        </is>
      </c>
      <c r="D440" s="49" t="inlineStr">
        <is>
          <t>S&amp;P 500</t>
        </is>
      </c>
      <c r="E440" s="49" t="inlineStr">
        <is>
          <t>Healthcare</t>
        </is>
      </c>
      <c r="F440" s="50" t="n">
        <v>55446052864</v>
      </c>
      <c r="G440" s="49" t="inlineStr">
        <is>
          <t>nightly refresh</t>
        </is>
      </c>
      <c r="H440" s="48" t="n">
        <v>224</v>
      </c>
      <c r="I440" s="49" t="inlineStr">
        <is>
          <t>No</t>
        </is>
      </c>
      <c r="J440" s="49" t="inlineStr">
        <is>
          <t>1983-08-04</t>
        </is>
      </c>
      <c r="K440" s="48" t="n">
        <v>6701</v>
      </c>
      <c r="L440" s="49" t="inlineStr">
        <is>
          <t>2000-01-03</t>
        </is>
      </c>
      <c r="M440" s="49" t="inlineStr">
        <is>
          <t>2026-08-25</t>
        </is>
      </c>
      <c r="N440" s="48" t="n">
        <v>336</v>
      </c>
      <c r="O440" s="51" t="n">
        <v>-17.0637</v>
      </c>
      <c r="P440" s="51" t="n">
        <v>-54.0497</v>
      </c>
      <c r="Q440" s="51" t="n">
        <v>39.9114</v>
      </c>
      <c r="R440" s="51" t="n">
        <v>-7.89</v>
      </c>
      <c r="S440" s="52">
        <f>IF($I440="Yes",$O440,"")</f>
        <v/>
      </c>
    </row>
    <row r="441">
      <c r="A441" s="43" t="inlineStr">
        <is>
          <t>CI</t>
        </is>
      </c>
      <c r="B441" s="44" t="inlineStr">
        <is>
          <t>The Cigna Group</t>
        </is>
      </c>
      <c r="C441" s="44" t="inlineStr">
        <is>
          <t>US</t>
        </is>
      </c>
      <c r="D441" s="44" t="inlineStr">
        <is>
          <t>S&amp;P 500</t>
        </is>
      </c>
      <c r="E441" s="44" t="inlineStr">
        <is>
          <t>Healthcare</t>
        </is>
      </c>
      <c r="F441" s="45" t="n">
        <v>74217226240</v>
      </c>
      <c r="G441" s="44" t="inlineStr">
        <is>
          <t>nightly refresh</t>
        </is>
      </c>
      <c r="H441" s="43" t="n">
        <v>178</v>
      </c>
      <c r="I441" s="44" t="inlineStr">
        <is>
          <t>No</t>
        </is>
      </c>
      <c r="J441" s="44" t="inlineStr">
        <is>
          <t>1982-03-31</t>
        </is>
      </c>
      <c r="K441" s="43" t="n">
        <v>6701</v>
      </c>
      <c r="L441" s="44" t="inlineStr">
        <is>
          <t>2000-01-03</t>
        </is>
      </c>
      <c r="M441" s="44" t="inlineStr">
        <is>
          <t>2026-08-25</t>
        </is>
      </c>
      <c r="N441" s="43" t="n">
        <v>356</v>
      </c>
      <c r="O441" s="46" t="n">
        <v>-20.8722</v>
      </c>
      <c r="P441" s="46" t="n">
        <v>-84.50660000000001</v>
      </c>
      <c r="Q441" s="46" t="n">
        <v>52.217</v>
      </c>
      <c r="R441" s="46" t="n">
        <v>-9.952400000000001</v>
      </c>
      <c r="S441" s="47">
        <f>IF($I441="Yes",$O441,"")</f>
        <v/>
      </c>
    </row>
    <row r="442">
      <c r="A442" s="48" t="inlineStr">
        <is>
          <t>CNC</t>
        </is>
      </c>
      <c r="B442" s="49" t="inlineStr">
        <is>
          <t>Centene Corporation</t>
        </is>
      </c>
      <c r="C442" s="49" t="inlineStr">
        <is>
          <t>US</t>
        </is>
      </c>
      <c r="D442" s="49" t="inlineStr">
        <is>
          <t>S&amp;P 500</t>
        </is>
      </c>
      <c r="E442" s="49" t="inlineStr">
        <is>
          <t>Healthcare</t>
        </is>
      </c>
      <c r="F442" s="50" t="n">
        <v>32341854208</v>
      </c>
      <c r="G442" s="49" t="inlineStr">
        <is>
          <t>nightly refresh</t>
        </is>
      </c>
      <c r="H442" s="48" t="n">
        <v>310</v>
      </c>
      <c r="I442" s="49" t="inlineStr">
        <is>
          <t>No</t>
        </is>
      </c>
      <c r="J442" s="49" t="inlineStr">
        <is>
          <t>2001-12-13</t>
        </is>
      </c>
      <c r="K442" s="48" t="n">
        <v>6213</v>
      </c>
      <c r="L442" s="49" t="inlineStr">
        <is>
          <t>2001-12-13</t>
        </is>
      </c>
      <c r="M442" s="49" t="inlineStr">
        <is>
          <t>2026-08-25</t>
        </is>
      </c>
      <c r="N442" s="48" t="n">
        <v>340</v>
      </c>
      <c r="O442" s="51" t="n">
        <v>-21.9293</v>
      </c>
      <c r="P442" s="51" t="n">
        <v>-68.7182</v>
      </c>
      <c r="Q442" s="51" t="n">
        <v>58.9122</v>
      </c>
      <c r="R442" s="51" t="n">
        <v>-6.286</v>
      </c>
      <c r="S442" s="52">
        <f>IF($I442="Yes",$O442,"")</f>
        <v/>
      </c>
    </row>
    <row r="443">
      <c r="A443" s="43" t="inlineStr">
        <is>
          <t>COO</t>
        </is>
      </c>
      <c r="B443" s="44" t="inlineStr">
        <is>
          <t>The Cooper Companies, Inc.</t>
        </is>
      </c>
      <c r="C443" s="44" t="inlineStr">
        <is>
          <t>US</t>
        </is>
      </c>
      <c r="D443" s="44" t="inlineStr">
        <is>
          <t>S&amp;P 500</t>
        </is>
      </c>
      <c r="E443" s="44" t="inlineStr">
        <is>
          <t>Healthcare</t>
        </is>
      </c>
      <c r="F443" s="45" t="n">
        <v>13839373326.24413</v>
      </c>
      <c r="G443" s="44" t="inlineStr">
        <is>
          <t>re-fetched 28 Aug 2026</t>
        </is>
      </c>
      <c r="H443" s="43" t="n">
        <v>456</v>
      </c>
      <c r="I443" s="44" t="inlineStr">
        <is>
          <t>No</t>
        </is>
      </c>
      <c r="J443" s="44" t="inlineStr">
        <is>
          <t>1983-01-21</t>
        </is>
      </c>
      <c r="K443" s="43" t="n">
        <v>6701</v>
      </c>
      <c r="L443" s="44" t="inlineStr">
        <is>
          <t>2000-01-03</t>
        </is>
      </c>
      <c r="M443" s="44" t="inlineStr">
        <is>
          <t>2026-08-25</t>
        </is>
      </c>
      <c r="N443" s="43" t="n">
        <v>345</v>
      </c>
      <c r="O443" s="46" t="n">
        <v>-18.7655</v>
      </c>
      <c r="P443" s="46" t="n">
        <v>-75.1841</v>
      </c>
      <c r="Q443" s="46" t="n">
        <v>49.1138</v>
      </c>
      <c r="R443" s="46" t="n">
        <v>-18.6909</v>
      </c>
      <c r="S443" s="47">
        <f>IF($I443="Yes",$O443,"")</f>
        <v/>
      </c>
    </row>
    <row r="444">
      <c r="A444" s="48" t="inlineStr">
        <is>
          <t>COR</t>
        </is>
      </c>
      <c r="B444" s="49" t="inlineStr">
        <is>
          <t>Cencora, Inc.</t>
        </is>
      </c>
      <c r="C444" s="49" t="inlineStr">
        <is>
          <t>US</t>
        </is>
      </c>
      <c r="D444" s="49" t="inlineStr">
        <is>
          <t>S&amp;P 500</t>
        </is>
      </c>
      <c r="E444" s="49" t="inlineStr">
        <is>
          <t>Healthcare</t>
        </is>
      </c>
      <c r="F444" s="50" t="n">
        <v>62551240704</v>
      </c>
      <c r="G444" s="49" t="inlineStr">
        <is>
          <t>nightly refresh</t>
        </is>
      </c>
      <c r="H444" s="48" t="n">
        <v>199</v>
      </c>
      <c r="I444" s="49" t="inlineStr">
        <is>
          <t>No</t>
        </is>
      </c>
      <c r="J444" s="49" t="inlineStr">
        <is>
          <t>1995-04-04</t>
        </is>
      </c>
      <c r="K444" s="48" t="n">
        <v>6701</v>
      </c>
      <c r="L444" s="49" t="inlineStr">
        <is>
          <t>2000-01-03</t>
        </is>
      </c>
      <c r="M444" s="49" t="inlineStr">
        <is>
          <t>2026-08-25</t>
        </is>
      </c>
      <c r="N444" s="48" t="n">
        <v>327</v>
      </c>
      <c r="O444" s="51" t="n">
        <v>-16.2262</v>
      </c>
      <c r="P444" s="51" t="n">
        <v>-49.6063</v>
      </c>
      <c r="Q444" s="51" t="n">
        <v>45.6771</v>
      </c>
      <c r="R444" s="51" t="n">
        <v>-12.7625</v>
      </c>
      <c r="S444" s="52">
        <f>IF($I444="Yes",$O444,"")</f>
        <v/>
      </c>
    </row>
    <row r="445">
      <c r="A445" s="43" t="inlineStr">
        <is>
          <t>CRL</t>
        </is>
      </c>
      <c r="B445" s="44" t="inlineStr">
        <is>
          <t>Charles River Laboratories International, Inc.</t>
        </is>
      </c>
      <c r="C445" s="44" t="inlineStr">
        <is>
          <t>US</t>
        </is>
      </c>
      <c r="D445" s="44" t="inlineStr">
        <is>
          <t>S&amp;P 500</t>
        </is>
      </c>
      <c r="E445" s="44" t="inlineStr">
        <is>
          <t>Healthcare</t>
        </is>
      </c>
      <c r="F445" s="45" t="n">
        <v>14214296576</v>
      </c>
      <c r="G445" s="44" t="inlineStr">
        <is>
          <t>nightly refresh</t>
        </is>
      </c>
      <c r="H445" s="43" t="n">
        <v>451</v>
      </c>
      <c r="I445" s="44" t="inlineStr">
        <is>
          <t>No</t>
        </is>
      </c>
      <c r="J445" s="44" t="inlineStr">
        <is>
          <t>2000-06-23</t>
        </is>
      </c>
      <c r="K445" s="43" t="n">
        <v>6581</v>
      </c>
      <c r="L445" s="44" t="inlineStr">
        <is>
          <t>2000-06-23</t>
        </is>
      </c>
      <c r="M445" s="44" t="inlineStr">
        <is>
          <t>2026-08-25</t>
        </is>
      </c>
      <c r="N445" s="43" t="n">
        <v>358</v>
      </c>
      <c r="O445" s="46" t="n">
        <v>-22.3021</v>
      </c>
      <c r="P445" s="46" t="n">
        <v>-69.96680000000001</v>
      </c>
      <c r="Q445" s="46" t="n">
        <v>46.7836</v>
      </c>
      <c r="R445" s="46" t="n">
        <v>-0.9814000000000001</v>
      </c>
      <c r="S445" s="47">
        <f>IF($I445="Yes",$O445,"")</f>
        <v/>
      </c>
    </row>
    <row r="446">
      <c r="A446" s="48" t="inlineStr">
        <is>
          <t>CVS</t>
        </is>
      </c>
      <c r="B446" s="49" t="inlineStr">
        <is>
          <t>CVS Health Corporation</t>
        </is>
      </c>
      <c r="C446" s="49" t="inlineStr">
        <is>
          <t>US</t>
        </is>
      </c>
      <c r="D446" s="49" t="inlineStr">
        <is>
          <t>S&amp;P 500</t>
        </is>
      </c>
      <c r="E446" s="49" t="inlineStr">
        <is>
          <t>Healthcare</t>
        </is>
      </c>
      <c r="F446" s="50" t="n">
        <v>120632483840</v>
      </c>
      <c r="G446" s="49" t="inlineStr">
        <is>
          <t>nightly refresh</t>
        </is>
      </c>
      <c r="H446" s="48" t="n">
        <v>103</v>
      </c>
      <c r="I446" s="49" t="inlineStr">
        <is>
          <t>No</t>
        </is>
      </c>
      <c r="J446" s="49" t="inlineStr">
        <is>
          <t>1973-02-21</t>
        </is>
      </c>
      <c r="K446" s="48" t="n">
        <v>6701</v>
      </c>
      <c r="L446" s="49" t="inlineStr">
        <is>
          <t>2000-01-03</t>
        </is>
      </c>
      <c r="M446" s="49" t="inlineStr">
        <is>
          <t>2026-08-25</t>
        </is>
      </c>
      <c r="N446" s="48" t="n">
        <v>335</v>
      </c>
      <c r="O446" s="51" t="n">
        <v>-19.2803</v>
      </c>
      <c r="P446" s="51" t="n">
        <v>-63.327</v>
      </c>
      <c r="Q446" s="51" t="n">
        <v>37.3205</v>
      </c>
      <c r="R446" s="51" t="n">
        <v>-15.5455</v>
      </c>
      <c r="S446" s="52">
        <f>IF($I446="Yes",$O446,"")</f>
        <v/>
      </c>
    </row>
    <row r="447">
      <c r="A447" s="43" t="inlineStr">
        <is>
          <t>DGX</t>
        </is>
      </c>
      <c r="B447" s="44" t="inlineStr">
        <is>
          <t>Quest Diagnostics Incorporated</t>
        </is>
      </c>
      <c r="C447" s="44" t="inlineStr">
        <is>
          <t>US</t>
        </is>
      </c>
      <c r="D447" s="44" t="inlineStr">
        <is>
          <t>S&amp;P 500</t>
        </is>
      </c>
      <c r="E447" s="44" t="inlineStr">
        <is>
          <t>Healthcare</t>
        </is>
      </c>
      <c r="F447" s="45" t="n">
        <v>27041472512</v>
      </c>
      <c r="G447" s="44" t="inlineStr">
        <is>
          <t>nightly refresh</t>
        </is>
      </c>
      <c r="H447" s="43" t="n">
        <v>339</v>
      </c>
      <c r="I447" s="44" t="inlineStr">
        <is>
          <t>No</t>
        </is>
      </c>
      <c r="J447" s="44" t="inlineStr">
        <is>
          <t>1996-12-17</t>
        </is>
      </c>
      <c r="K447" s="43" t="n">
        <v>6701</v>
      </c>
      <c r="L447" s="44" t="inlineStr">
        <is>
          <t>2000-01-03</t>
        </is>
      </c>
      <c r="M447" s="44" t="inlineStr">
        <is>
          <t>2026-08-25</t>
        </is>
      </c>
      <c r="N447" s="43" t="n">
        <v>331</v>
      </c>
      <c r="O447" s="46" t="n">
        <v>-15.7817</v>
      </c>
      <c r="P447" s="46" t="n">
        <v>-50.104</v>
      </c>
      <c r="Q447" s="46" t="n">
        <v>40.1935</v>
      </c>
      <c r="R447" s="46" t="n">
        <v>-0.6057</v>
      </c>
      <c r="S447" s="47">
        <f>IF($I447="Yes",$O447,"")</f>
        <v/>
      </c>
    </row>
    <row r="448">
      <c r="A448" s="48" t="inlineStr">
        <is>
          <t>DHR</t>
        </is>
      </c>
      <c r="B448" s="49" t="inlineStr">
        <is>
          <t>Danaher Corporation</t>
        </is>
      </c>
      <c r="C448" s="49" t="inlineStr">
        <is>
          <t>US</t>
        </is>
      </c>
      <c r="D448" s="49" t="inlineStr">
        <is>
          <t>S&amp;P 500</t>
        </is>
      </c>
      <c r="E448" s="49" t="inlineStr">
        <is>
          <t>Healthcare</t>
        </is>
      </c>
      <c r="F448" s="50" t="n">
        <v>151395074048</v>
      </c>
      <c r="G448" s="49" t="inlineStr">
        <is>
          <t>nightly refresh</t>
        </is>
      </c>
      <c r="H448" s="48" t="n">
        <v>86</v>
      </c>
      <c r="I448" s="49" t="inlineStr">
        <is>
          <t>No</t>
        </is>
      </c>
      <c r="J448" s="49" t="inlineStr">
        <is>
          <t>1978-12-29</t>
        </is>
      </c>
      <c r="K448" s="48" t="n">
        <v>6701</v>
      </c>
      <c r="L448" s="49" t="inlineStr">
        <is>
          <t>2000-01-03</t>
        </is>
      </c>
      <c r="M448" s="49" t="inlineStr">
        <is>
          <t>2026-08-25</t>
        </is>
      </c>
      <c r="N448" s="48" t="n">
        <v>320</v>
      </c>
      <c r="O448" s="51" t="n">
        <v>-14.6807</v>
      </c>
      <c r="P448" s="51" t="n">
        <v>-44.4684</v>
      </c>
      <c r="Q448" s="51" t="n">
        <v>38.0282</v>
      </c>
      <c r="R448" s="51" t="n">
        <v>-10.8606</v>
      </c>
      <c r="S448" s="52">
        <f>IF($I448="Yes",$O448,"")</f>
        <v/>
      </c>
    </row>
    <row r="449">
      <c r="A449" s="43" t="inlineStr">
        <is>
          <t>DVA</t>
        </is>
      </c>
      <c r="B449" s="44" t="inlineStr">
        <is>
          <t>DaVita Inc.</t>
        </is>
      </c>
      <c r="C449" s="44" t="inlineStr">
        <is>
          <t>US</t>
        </is>
      </c>
      <c r="D449" s="44" t="inlineStr">
        <is>
          <t>S&amp;P 500</t>
        </is>
      </c>
      <c r="E449" s="44" t="inlineStr">
        <is>
          <t>Healthcare</t>
        </is>
      </c>
      <c r="F449" s="45" t="n">
        <v>11487190016</v>
      </c>
      <c r="G449" s="44" t="inlineStr">
        <is>
          <t>nightly refresh</t>
        </is>
      </c>
      <c r="H449" s="43" t="n">
        <v>479</v>
      </c>
      <c r="I449" s="44" t="inlineStr">
        <is>
          <t>No</t>
        </is>
      </c>
      <c r="J449" s="44" t="inlineStr">
        <is>
          <t>1995-10-31</t>
        </is>
      </c>
      <c r="K449" s="43" t="n">
        <v>6701</v>
      </c>
      <c r="L449" s="44" t="inlineStr">
        <is>
          <t>2000-01-03</t>
        </is>
      </c>
      <c r="M449" s="44" t="inlineStr">
        <is>
          <t>2026-08-25</t>
        </is>
      </c>
      <c r="N449" s="43" t="n">
        <v>343</v>
      </c>
      <c r="O449" s="46" t="n">
        <v>-17.2726</v>
      </c>
      <c r="P449" s="46" t="n">
        <v>-65.57380000000001</v>
      </c>
      <c r="Q449" s="46" t="n">
        <v>62.4624</v>
      </c>
      <c r="R449" s="46" t="n">
        <v>-28.1587</v>
      </c>
      <c r="S449" s="47">
        <f>IF($I449="Yes",$O449,"")</f>
        <v/>
      </c>
    </row>
    <row r="450">
      <c r="A450" s="48" t="inlineStr">
        <is>
          <t>DXCM</t>
        </is>
      </c>
      <c r="B450" s="49" t="inlineStr">
        <is>
          <t>DexCom, Inc.</t>
        </is>
      </c>
      <c r="C450" s="49" t="inlineStr">
        <is>
          <t>US</t>
        </is>
      </c>
      <c r="D450" s="49" t="inlineStr">
        <is>
          <t>S&amp;P 500</t>
        </is>
      </c>
      <c r="E450" s="49" t="inlineStr">
        <is>
          <t>Healthcare</t>
        </is>
      </c>
      <c r="F450" s="50" t="n">
        <v>33570013184</v>
      </c>
      <c r="G450" s="49" t="inlineStr">
        <is>
          <t>nightly refresh</t>
        </is>
      </c>
      <c r="H450" s="48" t="n">
        <v>304</v>
      </c>
      <c r="I450" s="49" t="inlineStr">
        <is>
          <t>No</t>
        </is>
      </c>
      <c r="J450" s="49" t="inlineStr">
        <is>
          <t>2005-04-14</t>
        </is>
      </c>
      <c r="K450" s="48" t="n">
        <v>5375</v>
      </c>
      <c r="L450" s="49" t="inlineStr">
        <is>
          <t>2005-04-14</t>
        </is>
      </c>
      <c r="M450" s="49" t="inlineStr">
        <is>
          <t>2026-08-25</t>
        </is>
      </c>
      <c r="N450" s="48" t="n">
        <v>317</v>
      </c>
      <c r="O450" s="51" t="n">
        <v>-27.7624</v>
      </c>
      <c r="P450" s="51" t="n">
        <v>-86.1277</v>
      </c>
      <c r="Q450" s="51" t="n">
        <v>100.4264</v>
      </c>
      <c r="R450" s="51" t="n">
        <v>-3.7045</v>
      </c>
      <c r="S450" s="52">
        <f>IF($I450="Yes",$O450,"")</f>
        <v/>
      </c>
    </row>
    <row r="451">
      <c r="A451" s="43" t="inlineStr">
        <is>
          <t>ELV</t>
        </is>
      </c>
      <c r="B451" s="44" t="inlineStr">
        <is>
          <t>Elevance Health, Inc.</t>
        </is>
      </c>
      <c r="C451" s="44" t="inlineStr">
        <is>
          <t>US</t>
        </is>
      </c>
      <c r="D451" s="44" t="inlineStr">
        <is>
          <t>S&amp;P 500</t>
        </is>
      </c>
      <c r="E451" s="44" t="inlineStr">
        <is>
          <t>Healthcare</t>
        </is>
      </c>
      <c r="F451" s="45" t="n">
        <v>87298572288</v>
      </c>
      <c r="G451" s="44" t="inlineStr">
        <is>
          <t>nightly refresh</t>
        </is>
      </c>
      <c r="H451" s="43" t="n">
        <v>150</v>
      </c>
      <c r="I451" s="44" t="inlineStr">
        <is>
          <t>No</t>
        </is>
      </c>
      <c r="J451" s="44" t="inlineStr">
        <is>
          <t>2001-10-30</t>
        </is>
      </c>
      <c r="K451" s="43" t="n">
        <v>6244</v>
      </c>
      <c r="L451" s="44" t="inlineStr">
        <is>
          <t>2001-10-30</t>
        </is>
      </c>
      <c r="M451" s="44" t="inlineStr">
        <is>
          <t>2026-08-25</t>
        </is>
      </c>
      <c r="N451" s="43" t="n">
        <v>318</v>
      </c>
      <c r="O451" s="46" t="n">
        <v>-17.4728</v>
      </c>
      <c r="P451" s="46" t="n">
        <v>-67.2889</v>
      </c>
      <c r="Q451" s="46" t="n">
        <v>43.3108</v>
      </c>
      <c r="R451" s="46" t="n">
        <v>-8.5664</v>
      </c>
      <c r="S451" s="47">
        <f>IF($I451="Yes",$O451,"")</f>
        <v/>
      </c>
    </row>
    <row r="452">
      <c r="A452" s="48" t="inlineStr">
        <is>
          <t>EW</t>
        </is>
      </c>
      <c r="B452" s="49" t="inlineStr">
        <is>
          <t>Edwards Lifesciences Corporation</t>
        </is>
      </c>
      <c r="C452" s="49" t="inlineStr">
        <is>
          <t>US</t>
        </is>
      </c>
      <c r="D452" s="49" t="inlineStr">
        <is>
          <t>S&amp;P 500</t>
        </is>
      </c>
      <c r="E452" s="49" t="inlineStr">
        <is>
          <t>Healthcare</t>
        </is>
      </c>
      <c r="F452" s="50" t="n">
        <v>52325593088</v>
      </c>
      <c r="G452" s="49" t="inlineStr">
        <is>
          <t>nightly refresh</t>
        </is>
      </c>
      <c r="H452" s="48" t="n">
        <v>232</v>
      </c>
      <c r="I452" s="49" t="inlineStr">
        <is>
          <t>No</t>
        </is>
      </c>
      <c r="J452" s="49" t="inlineStr">
        <is>
          <t>2000-03-27</t>
        </is>
      </c>
      <c r="K452" s="48" t="n">
        <v>6643</v>
      </c>
      <c r="L452" s="49" t="inlineStr">
        <is>
          <t>2000-03-27</t>
        </is>
      </c>
      <c r="M452" s="49" t="inlineStr">
        <is>
          <t>2026-08-25</t>
        </is>
      </c>
      <c r="N452" s="48" t="n">
        <v>357</v>
      </c>
      <c r="O452" s="51" t="n">
        <v>-16.6935</v>
      </c>
      <c r="P452" s="51" t="n">
        <v>-50.7109</v>
      </c>
      <c r="Q452" s="51" t="n">
        <v>46.1662</v>
      </c>
      <c r="R452" s="51" t="n">
        <v>-5.6288</v>
      </c>
      <c r="S452" s="52">
        <f>IF($I452="Yes",$O452,"")</f>
        <v/>
      </c>
    </row>
    <row r="453">
      <c r="A453" s="43" t="inlineStr">
        <is>
          <t>GEHC</t>
        </is>
      </c>
      <c r="B453" s="44" t="inlineStr">
        <is>
          <t>GE HealthCare Technologies Inc.</t>
        </is>
      </c>
      <c r="C453" s="44" t="inlineStr">
        <is>
          <t>US</t>
        </is>
      </c>
      <c r="D453" s="44" t="inlineStr">
        <is>
          <t>S&amp;P 500</t>
        </is>
      </c>
      <c r="E453" s="44" t="inlineStr">
        <is>
          <t>Healthcare</t>
        </is>
      </c>
      <c r="F453" s="45" t="n">
        <v>33113116672</v>
      </c>
      <c r="G453" s="44" t="inlineStr">
        <is>
          <t>nightly refresh</t>
        </is>
      </c>
      <c r="H453" s="43" t="n">
        <v>305</v>
      </c>
      <c r="I453" s="44" t="inlineStr">
        <is>
          <t>No</t>
        </is>
      </c>
      <c r="J453" s="44" t="inlineStr">
        <is>
          <t>2022-12-15</t>
        </is>
      </c>
      <c r="K453" s="43" t="n">
        <v>925</v>
      </c>
      <c r="L453" s="44" t="inlineStr">
        <is>
          <t>2022-12-15</t>
        </is>
      </c>
      <c r="M453" s="44" t="inlineStr">
        <is>
          <t>2026-08-25</t>
        </is>
      </c>
      <c r="N453" s="43" t="n">
        <v>58</v>
      </c>
      <c r="O453" s="46" t="n">
        <v>-19.8217</v>
      </c>
      <c r="P453" s="46" t="n">
        <v>-38.0274</v>
      </c>
      <c r="Q453" s="46" t="n">
        <v>34.9555</v>
      </c>
      <c r="R453" s="46" t="n">
        <v>-17.5946</v>
      </c>
      <c r="S453" s="47">
        <f>IF($I453="Yes",$O453,"")</f>
        <v/>
      </c>
    </row>
    <row r="454">
      <c r="A454" s="48" t="inlineStr">
        <is>
          <t>GILD</t>
        </is>
      </c>
      <c r="B454" s="49" t="inlineStr">
        <is>
          <t>Gilead Sciences, Inc.</t>
        </is>
      </c>
      <c r="C454" s="49" t="inlineStr">
        <is>
          <t>US</t>
        </is>
      </c>
      <c r="D454" s="49" t="inlineStr">
        <is>
          <t>S&amp;P 500</t>
        </is>
      </c>
      <c r="E454" s="49" t="inlineStr">
        <is>
          <t>Healthcare</t>
        </is>
      </c>
      <c r="F454" s="50" t="n">
        <v>183624957952</v>
      </c>
      <c r="G454" s="49" t="inlineStr">
        <is>
          <t>nightly refresh</t>
        </is>
      </c>
      <c r="H454" s="48" t="n">
        <v>70</v>
      </c>
      <c r="I454" s="49" t="inlineStr">
        <is>
          <t>No</t>
        </is>
      </c>
      <c r="J454" s="49" t="inlineStr">
        <is>
          <t>1992-01-22</t>
        </is>
      </c>
      <c r="K454" s="48" t="n">
        <v>6701</v>
      </c>
      <c r="L454" s="49" t="inlineStr">
        <is>
          <t>2000-01-03</t>
        </is>
      </c>
      <c r="M454" s="49" t="inlineStr">
        <is>
          <t>2026-08-25</t>
        </is>
      </c>
      <c r="N454" s="48" t="n">
        <v>386</v>
      </c>
      <c r="O454" s="51" t="n">
        <v>-17.1775</v>
      </c>
      <c r="P454" s="51" t="n">
        <v>-54.2328</v>
      </c>
      <c r="Q454" s="51" t="n">
        <v>51.1692</v>
      </c>
      <c r="R454" s="51" t="n">
        <v>-4.8796</v>
      </c>
      <c r="S454" s="52">
        <f>IF($I454="Yes",$O454,"")</f>
        <v/>
      </c>
    </row>
    <row r="455">
      <c r="A455" s="43" t="inlineStr">
        <is>
          <t>HCA</t>
        </is>
      </c>
      <c r="B455" s="44" t="inlineStr">
        <is>
          <t>HCA Healthcare, Inc.</t>
        </is>
      </c>
      <c r="C455" s="44" t="inlineStr">
        <is>
          <t>US</t>
        </is>
      </c>
      <c r="D455" s="44" t="inlineStr">
        <is>
          <t>S&amp;P 500</t>
        </is>
      </c>
      <c r="E455" s="44" t="inlineStr">
        <is>
          <t>Healthcare</t>
        </is>
      </c>
      <c r="F455" s="45" t="n">
        <v>92480782336</v>
      </c>
      <c r="G455" s="44" t="inlineStr">
        <is>
          <t>nightly refresh</t>
        </is>
      </c>
      <c r="H455" s="43" t="n">
        <v>140</v>
      </c>
      <c r="I455" s="44" t="inlineStr">
        <is>
          <t>No</t>
        </is>
      </c>
      <c r="J455" s="44" t="inlineStr">
        <is>
          <t>2011-03-10</t>
        </is>
      </c>
      <c r="K455" s="43" t="n">
        <v>3888</v>
      </c>
      <c r="L455" s="44" t="inlineStr">
        <is>
          <t>2011-03-10</t>
        </is>
      </c>
      <c r="M455" s="44" t="inlineStr">
        <is>
          <t>2026-08-25</t>
        </is>
      </c>
      <c r="N455" s="43" t="n">
        <v>187</v>
      </c>
      <c r="O455" s="46" t="n">
        <v>-17.1219</v>
      </c>
      <c r="P455" s="46" t="n">
        <v>-55.0169</v>
      </c>
      <c r="Q455" s="46" t="n">
        <v>62.4731</v>
      </c>
      <c r="R455" s="46" t="n">
        <v>-22.8424</v>
      </c>
      <c r="S455" s="47">
        <f>IF($I455="Yes",$O455,"")</f>
        <v/>
      </c>
    </row>
    <row r="456">
      <c r="A456" s="48" t="inlineStr">
        <is>
          <t>HSIC</t>
        </is>
      </c>
      <c r="B456" s="49" t="inlineStr">
        <is>
          <t>Henry Schein, Inc.</t>
        </is>
      </c>
      <c r="C456" s="49" t="inlineStr">
        <is>
          <t>US</t>
        </is>
      </c>
      <c r="D456" s="49" t="inlineStr">
        <is>
          <t>S&amp;P 500</t>
        </is>
      </c>
      <c r="E456" s="49" t="inlineStr">
        <is>
          <t>Healthcare</t>
        </is>
      </c>
      <c r="F456" s="50" t="n">
        <v>10072538112</v>
      </c>
      <c r="G456" s="49" t="inlineStr">
        <is>
          <t>nightly refresh</t>
        </is>
      </c>
      <c r="H456" s="48" t="n">
        <v>488</v>
      </c>
      <c r="I456" s="49" t="inlineStr">
        <is>
          <t>No</t>
        </is>
      </c>
      <c r="J456" s="49" t="inlineStr">
        <is>
          <t>1995-11-03</t>
        </is>
      </c>
      <c r="K456" s="48" t="n">
        <v>6701</v>
      </c>
      <c r="L456" s="49" t="inlineStr">
        <is>
          <t>2000-01-03</t>
        </is>
      </c>
      <c r="M456" s="49" t="inlineStr">
        <is>
          <t>2026-08-25</t>
        </is>
      </c>
      <c r="N456" s="48" t="n">
        <v>329</v>
      </c>
      <c r="O456" s="51" t="n">
        <v>-15.4075</v>
      </c>
      <c r="P456" s="51" t="n">
        <v>-48.0195</v>
      </c>
      <c r="Q456" s="51" t="n">
        <v>38.3784</v>
      </c>
      <c r="R456" s="51" t="n">
        <v>-2.7446</v>
      </c>
      <c r="S456" s="52">
        <f>IF($I456="Yes",$O456,"")</f>
        <v/>
      </c>
    </row>
    <row r="457">
      <c r="A457" s="43" t="inlineStr">
        <is>
          <t>HUM</t>
        </is>
      </c>
      <c r="B457" s="44" t="inlineStr">
        <is>
          <t>Humana Inc.</t>
        </is>
      </c>
      <c r="C457" s="44" t="inlineStr">
        <is>
          <t>US</t>
        </is>
      </c>
      <c r="D457" s="44" t="inlineStr">
        <is>
          <t>S&amp;P 500</t>
        </is>
      </c>
      <c r="E457" s="44" t="inlineStr">
        <is>
          <t>Healthcare</t>
        </is>
      </c>
      <c r="F457" s="45" t="n">
        <v>46958604288</v>
      </c>
      <c r="G457" s="44" t="inlineStr">
        <is>
          <t>nightly refresh</t>
        </is>
      </c>
      <c r="H457" s="43" t="n">
        <v>251</v>
      </c>
      <c r="I457" s="44" t="inlineStr">
        <is>
          <t>No</t>
        </is>
      </c>
      <c r="J457" s="44" t="inlineStr">
        <is>
          <t>1981-12-31</t>
        </is>
      </c>
      <c r="K457" s="43" t="n">
        <v>6701</v>
      </c>
      <c r="L457" s="44" t="inlineStr">
        <is>
          <t>2000-01-03</t>
        </is>
      </c>
      <c r="M457" s="44" t="inlineStr">
        <is>
          <t>2026-08-25</t>
        </is>
      </c>
      <c r="N457" s="43" t="n">
        <v>351</v>
      </c>
      <c r="O457" s="46" t="n">
        <v>-21.3559</v>
      </c>
      <c r="P457" s="46" t="n">
        <v>-72.5183</v>
      </c>
      <c r="Q457" s="46" t="n">
        <v>58.9139</v>
      </c>
      <c r="R457" s="46" t="n">
        <v>-9.133100000000001</v>
      </c>
      <c r="S457" s="47">
        <f>IF($I457="Yes",$O457,"")</f>
        <v/>
      </c>
    </row>
    <row r="458">
      <c r="A458" s="48" t="inlineStr">
        <is>
          <t>IDXX</t>
        </is>
      </c>
      <c r="B458" s="49" t="inlineStr">
        <is>
          <t>IDEXX Laboratories, Inc.</t>
        </is>
      </c>
      <c r="C458" s="49" t="inlineStr">
        <is>
          <t>US</t>
        </is>
      </c>
      <c r="D458" s="49" t="inlineStr">
        <is>
          <t>S&amp;P 500</t>
        </is>
      </c>
      <c r="E458" s="49" t="inlineStr">
        <is>
          <t>Healthcare</t>
        </is>
      </c>
      <c r="F458" s="50" t="n">
        <v>43600621568</v>
      </c>
      <c r="G458" s="49" t="inlineStr">
        <is>
          <t>nightly refresh</t>
        </is>
      </c>
      <c r="H458" s="48" t="n">
        <v>260</v>
      </c>
      <c r="I458" s="49" t="inlineStr">
        <is>
          <t>No</t>
        </is>
      </c>
      <c r="J458" s="49" t="inlineStr">
        <is>
          <t>1991-06-21</t>
        </is>
      </c>
      <c r="K458" s="48" t="n">
        <v>6701</v>
      </c>
      <c r="L458" s="49" t="inlineStr">
        <is>
          <t>2000-01-03</t>
        </is>
      </c>
      <c r="M458" s="49" t="inlineStr">
        <is>
          <t>2026-08-25</t>
        </is>
      </c>
      <c r="N458" s="48" t="n">
        <v>344</v>
      </c>
      <c r="O458" s="51" t="n">
        <v>-17.281</v>
      </c>
      <c r="P458" s="51" t="n">
        <v>-56.8418</v>
      </c>
      <c r="Q458" s="51" t="n">
        <v>53.7902</v>
      </c>
      <c r="R458" s="51" t="n">
        <v>-28.5683</v>
      </c>
      <c r="S458" s="52">
        <f>IF($I458="Yes",$O458,"")</f>
        <v/>
      </c>
    </row>
    <row r="459">
      <c r="A459" s="43" t="inlineStr">
        <is>
          <t>INCY</t>
        </is>
      </c>
      <c r="B459" s="44" t="inlineStr">
        <is>
          <t>Incyte Corporation</t>
        </is>
      </c>
      <c r="C459" s="44" t="inlineStr">
        <is>
          <t>US</t>
        </is>
      </c>
      <c r="D459" s="44" t="inlineStr">
        <is>
          <t>S&amp;P 500</t>
        </is>
      </c>
      <c r="E459" s="44" t="inlineStr">
        <is>
          <t>Healthcare</t>
        </is>
      </c>
      <c r="F459" s="45" t="n">
        <v>25969633280</v>
      </c>
      <c r="G459" s="44" t="inlineStr">
        <is>
          <t>nightly refresh</t>
        </is>
      </c>
      <c r="H459" s="43" t="n">
        <v>354</v>
      </c>
      <c r="I459" s="44" t="inlineStr">
        <is>
          <t>No</t>
        </is>
      </c>
      <c r="J459" s="44" t="inlineStr">
        <is>
          <t>1993-11-04</t>
        </is>
      </c>
      <c r="K459" s="43" t="n">
        <v>6701</v>
      </c>
      <c r="L459" s="44" t="inlineStr">
        <is>
          <t>2000-01-03</t>
        </is>
      </c>
      <c r="M459" s="44" t="inlineStr">
        <is>
          <t>2026-08-25</t>
        </is>
      </c>
      <c r="N459" s="43" t="n">
        <v>387</v>
      </c>
      <c r="O459" s="46" t="n">
        <v>-32.088</v>
      </c>
      <c r="P459" s="46" t="n">
        <v>-89.3189</v>
      </c>
      <c r="Q459" s="46" t="n">
        <v>80.7761</v>
      </c>
      <c r="R459" s="46" t="n">
        <v>-2.1719</v>
      </c>
      <c r="S459" s="47">
        <f>IF($I459="Yes",$O459,"")</f>
        <v/>
      </c>
    </row>
    <row r="460">
      <c r="A460" s="48" t="inlineStr">
        <is>
          <t>IQV</t>
        </is>
      </c>
      <c r="B460" s="49" t="inlineStr">
        <is>
          <t>IQVIA Holdings Inc.</t>
        </is>
      </c>
      <c r="C460" s="49" t="inlineStr">
        <is>
          <t>US</t>
        </is>
      </c>
      <c r="D460" s="49" t="inlineStr">
        <is>
          <t>S&amp;P 500</t>
        </is>
      </c>
      <c r="E460" s="49" t="inlineStr">
        <is>
          <t>Healthcare</t>
        </is>
      </c>
      <c r="F460" s="50" t="n">
        <v>43044548608</v>
      </c>
      <c r="G460" s="49" t="inlineStr">
        <is>
          <t>nightly refresh</t>
        </is>
      </c>
      <c r="H460" s="48" t="n">
        <v>262</v>
      </c>
      <c r="I460" s="49" t="inlineStr">
        <is>
          <t>No</t>
        </is>
      </c>
      <c r="J460" s="49" t="inlineStr">
        <is>
          <t>2013-05-09</t>
        </is>
      </c>
      <c r="K460" s="48" t="n">
        <v>3344</v>
      </c>
      <c r="L460" s="49" t="inlineStr">
        <is>
          <t>2013-05-09</t>
        </is>
      </c>
      <c r="M460" s="49" t="inlineStr">
        <is>
          <t>2026-08-25</t>
        </is>
      </c>
      <c r="N460" s="48" t="n">
        <v>166</v>
      </c>
      <c r="O460" s="51" t="n">
        <v>-16.5047</v>
      </c>
      <c r="P460" s="51" t="n">
        <v>-50.337</v>
      </c>
      <c r="Q460" s="51" t="n">
        <v>43.0933</v>
      </c>
      <c r="R460" s="51" t="n">
        <v>-0.9394</v>
      </c>
      <c r="S460" s="52">
        <f>IF($I460="Yes",$O460,"")</f>
        <v/>
      </c>
    </row>
    <row r="461">
      <c r="A461" s="43" t="inlineStr">
        <is>
          <t>ISRG</t>
        </is>
      </c>
      <c r="B461" s="44" t="inlineStr">
        <is>
          <t>Intuitive Surgical, Inc.</t>
        </is>
      </c>
      <c r="C461" s="44" t="inlineStr">
        <is>
          <t>US</t>
        </is>
      </c>
      <c r="D461" s="44" t="inlineStr">
        <is>
          <t>S&amp;P 500</t>
        </is>
      </c>
      <c r="E461" s="44" t="inlineStr">
        <is>
          <t>Healthcare</t>
        </is>
      </c>
      <c r="F461" s="45" t="n">
        <v>132713357312</v>
      </c>
      <c r="G461" s="44" t="inlineStr">
        <is>
          <t>nightly refresh</t>
        </is>
      </c>
      <c r="H461" s="43" t="n">
        <v>93</v>
      </c>
      <c r="I461" s="44" t="inlineStr">
        <is>
          <t>No</t>
        </is>
      </c>
      <c r="J461" s="44" t="inlineStr">
        <is>
          <t>2000-06-16</t>
        </is>
      </c>
      <c r="K461" s="43" t="n">
        <v>6586</v>
      </c>
      <c r="L461" s="44" t="inlineStr">
        <is>
          <t>2000-06-16</t>
        </is>
      </c>
      <c r="M461" s="44" t="inlineStr">
        <is>
          <t>2026-08-25</t>
        </is>
      </c>
      <c r="N461" s="43" t="n">
        <v>373</v>
      </c>
      <c r="O461" s="46" t="n">
        <v>-22.9759</v>
      </c>
      <c r="P461" s="46" t="n">
        <v>-82.42619999999999</v>
      </c>
      <c r="Q461" s="46" t="n">
        <v>81.3622</v>
      </c>
      <c r="R461" s="46" t="n">
        <v>-38.4249</v>
      </c>
      <c r="S461" s="47">
        <f>IF($I461="Yes",$O461,"")</f>
        <v/>
      </c>
    </row>
    <row r="462">
      <c r="A462" s="48" t="inlineStr">
        <is>
          <t>JNJ</t>
        </is>
      </c>
      <c r="B462" s="49" t="inlineStr">
        <is>
          <t>Johnson &amp; Johnson</t>
        </is>
      </c>
      <c r="C462" s="49" t="inlineStr">
        <is>
          <t>US</t>
        </is>
      </c>
      <c r="D462" s="49" t="inlineStr">
        <is>
          <t>S&amp;P 500</t>
        </is>
      </c>
      <c r="E462" s="49" t="inlineStr">
        <is>
          <t>Healthcare</t>
        </is>
      </c>
      <c r="F462" s="50" t="n">
        <v>650672603136</v>
      </c>
      <c r="G462" s="49" t="inlineStr">
        <is>
          <t>nightly refresh</t>
        </is>
      </c>
      <c r="H462" s="48" t="n">
        <v>17</v>
      </c>
      <c r="I462" s="49" t="inlineStr">
        <is>
          <t>Yes</t>
        </is>
      </c>
      <c r="J462" s="49" t="inlineStr">
        <is>
          <t>1962-01-02</t>
        </is>
      </c>
      <c r="K462" s="48" t="n">
        <v>6701</v>
      </c>
      <c r="L462" s="49" t="inlineStr">
        <is>
          <t>2000-01-03</t>
        </is>
      </c>
      <c r="M462" s="49" t="inlineStr">
        <is>
          <t>2026-08-25</t>
        </is>
      </c>
      <c r="N462" s="48" t="n">
        <v>278</v>
      </c>
      <c r="O462" s="51" t="n">
        <v>-11.6995</v>
      </c>
      <c r="P462" s="51" t="n">
        <v>-36.2693</v>
      </c>
      <c r="Q462" s="51" t="n">
        <v>25.0419</v>
      </c>
      <c r="R462" s="51" t="n">
        <v>-1.2045</v>
      </c>
      <c r="S462" s="52">
        <f>IF($I462="Yes",$O462,"")</f>
        <v/>
      </c>
    </row>
    <row r="463">
      <c r="A463" s="43" t="inlineStr">
        <is>
          <t>LH</t>
        </is>
      </c>
      <c r="B463" s="44" t="inlineStr">
        <is>
          <t>Labcorp Holdings Inc.</t>
        </is>
      </c>
      <c r="C463" s="44" t="inlineStr">
        <is>
          <t>US</t>
        </is>
      </c>
      <c r="D463" s="44" t="inlineStr">
        <is>
          <t>S&amp;P 500</t>
        </is>
      </c>
      <c r="E463" s="44" t="inlineStr">
        <is>
          <t>Healthcare</t>
        </is>
      </c>
      <c r="F463" s="45" t="n">
        <v>27226892288</v>
      </c>
      <c r="G463" s="44" t="inlineStr">
        <is>
          <t>nightly refresh</t>
        </is>
      </c>
      <c r="H463" s="43" t="n">
        <v>337</v>
      </c>
      <c r="I463" s="44" t="inlineStr">
        <is>
          <t>No</t>
        </is>
      </c>
      <c r="J463" s="44" t="inlineStr">
        <is>
          <t>1990-03-29</t>
        </is>
      </c>
      <c r="K463" s="43" t="n">
        <v>6701</v>
      </c>
      <c r="L463" s="44" t="inlineStr">
        <is>
          <t>2000-01-03</t>
        </is>
      </c>
      <c r="M463" s="44" t="inlineStr">
        <is>
          <t>2026-08-25</t>
        </is>
      </c>
      <c r="N463" s="43" t="n">
        <v>317</v>
      </c>
      <c r="O463" s="46" t="n">
        <v>-15.4766</v>
      </c>
      <c r="P463" s="46" t="n">
        <v>-63.3604</v>
      </c>
      <c r="Q463" s="46" t="n">
        <v>42.5475</v>
      </c>
      <c r="R463" s="46" t="n">
        <v>-0.6122</v>
      </c>
      <c r="S463" s="47">
        <f>IF($I463="Yes",$O463,"")</f>
        <v/>
      </c>
    </row>
    <row r="464">
      <c r="A464" s="48" t="inlineStr">
        <is>
          <t>LLY</t>
        </is>
      </c>
      <c r="B464" s="49" t="inlineStr">
        <is>
          <t>Eli Lilly and Company</t>
        </is>
      </c>
      <c r="C464" s="49" t="inlineStr">
        <is>
          <t>US</t>
        </is>
      </c>
      <c r="D464" s="49" t="inlineStr">
        <is>
          <t>S&amp;P 500</t>
        </is>
      </c>
      <c r="E464" s="49" t="inlineStr">
        <is>
          <t>Healthcare</t>
        </is>
      </c>
      <c r="F464" s="50" t="n">
        <v>1060646158336</v>
      </c>
      <c r="G464" s="49" t="inlineStr">
        <is>
          <t>nightly refresh</t>
        </is>
      </c>
      <c r="H464" s="48" t="n">
        <v>11</v>
      </c>
      <c r="I464" s="49" t="inlineStr">
        <is>
          <t>Yes</t>
        </is>
      </c>
      <c r="J464" s="49" t="inlineStr">
        <is>
          <t>1972-06-01</t>
        </is>
      </c>
      <c r="K464" s="48" t="n">
        <v>6701</v>
      </c>
      <c r="L464" s="49" t="inlineStr">
        <is>
          <t>2000-01-03</t>
        </is>
      </c>
      <c r="M464" s="49" t="inlineStr">
        <is>
          <t>2026-08-25</t>
        </is>
      </c>
      <c r="N464" s="48" t="n">
        <v>342</v>
      </c>
      <c r="O464" s="51" t="n">
        <v>-15.5582</v>
      </c>
      <c r="P464" s="51" t="n">
        <v>-46.1062</v>
      </c>
      <c r="Q464" s="51" t="n">
        <v>37.2056</v>
      </c>
      <c r="R464" s="51" t="n">
        <v>-4.5635</v>
      </c>
      <c r="S464" s="52">
        <f>IF($I464="Yes",$O464,"")</f>
        <v/>
      </c>
    </row>
    <row r="465">
      <c r="A465" s="43" t="inlineStr">
        <is>
          <t>MCK</t>
        </is>
      </c>
      <c r="B465" s="44" t="inlineStr">
        <is>
          <t>McKesson Corporation</t>
        </is>
      </c>
      <c r="C465" s="44" t="inlineStr">
        <is>
          <t>US</t>
        </is>
      </c>
      <c r="D465" s="44" t="inlineStr">
        <is>
          <t>S&amp;P 500</t>
        </is>
      </c>
      <c r="E465" s="44" t="inlineStr">
        <is>
          <t>Healthcare</t>
        </is>
      </c>
      <c r="F465" s="45" t="n">
        <v>104540749824</v>
      </c>
      <c r="G465" s="44" t="inlineStr">
        <is>
          <t>nightly refresh</t>
        </is>
      </c>
      <c r="H465" s="43" t="n">
        <v>116</v>
      </c>
      <c r="I465" s="44" t="inlineStr">
        <is>
          <t>No</t>
        </is>
      </c>
      <c r="J465" s="44" t="inlineStr">
        <is>
          <t>1994-11-10</t>
        </is>
      </c>
      <c r="K465" s="43" t="n">
        <v>6701</v>
      </c>
      <c r="L465" s="44" t="inlineStr">
        <is>
          <t>2000-01-03</t>
        </is>
      </c>
      <c r="M465" s="44" t="inlineStr">
        <is>
          <t>2026-08-25</t>
        </is>
      </c>
      <c r="N465" s="43" t="n">
        <v>322</v>
      </c>
      <c r="O465" s="46" t="n">
        <v>-17.0541</v>
      </c>
      <c r="P465" s="46" t="n">
        <v>-57.9714</v>
      </c>
      <c r="Q465" s="46" t="n">
        <v>44.6583</v>
      </c>
      <c r="R465" s="46" t="n">
        <v>-9.3002</v>
      </c>
      <c r="S465" s="47">
        <f>IF($I465="Yes",$O465,"")</f>
        <v/>
      </c>
    </row>
    <row r="466">
      <c r="A466" s="48" t="inlineStr">
        <is>
          <t>MDT</t>
        </is>
      </c>
      <c r="B466" s="49" t="inlineStr">
        <is>
          <t>Medtronic plc</t>
        </is>
      </c>
      <c r="C466" s="49" t="inlineStr">
        <is>
          <t>US</t>
        </is>
      </c>
      <c r="D466" s="49" t="inlineStr">
        <is>
          <t>S&amp;P 500</t>
        </is>
      </c>
      <c r="E466" s="49" t="inlineStr">
        <is>
          <t>Healthcare</t>
        </is>
      </c>
      <c r="F466" s="50" t="n">
        <v>117783830528</v>
      </c>
      <c r="G466" s="49" t="inlineStr">
        <is>
          <t>nightly refresh</t>
        </is>
      </c>
      <c r="H466" s="48" t="n">
        <v>104</v>
      </c>
      <c r="I466" s="49" t="inlineStr">
        <is>
          <t>No</t>
        </is>
      </c>
      <c r="J466" s="49" t="inlineStr">
        <is>
          <t>1973-05-02</t>
        </is>
      </c>
      <c r="K466" s="48" t="n">
        <v>6701</v>
      </c>
      <c r="L466" s="49" t="inlineStr">
        <is>
          <t>2000-01-03</t>
        </is>
      </c>
      <c r="M466" s="49" t="inlineStr">
        <is>
          <t>2026-08-25</t>
        </is>
      </c>
      <c r="N466" s="48" t="n">
        <v>354</v>
      </c>
      <c r="O466" s="51" t="n">
        <v>-16.1949</v>
      </c>
      <c r="P466" s="51" t="n">
        <v>-56.7757</v>
      </c>
      <c r="Q466" s="51" t="n">
        <v>30.1383</v>
      </c>
      <c r="R466" s="51" t="n">
        <v>-12.9505</v>
      </c>
      <c r="S466" s="52">
        <f>IF($I466="Yes",$O466,"")</f>
        <v/>
      </c>
    </row>
    <row r="467">
      <c r="A467" s="43" t="inlineStr">
        <is>
          <t>MRK</t>
        </is>
      </c>
      <c r="B467" s="44" t="inlineStr">
        <is>
          <t>Merck &amp; Co., Inc.</t>
        </is>
      </c>
      <c r="C467" s="44" t="inlineStr">
        <is>
          <t>US</t>
        </is>
      </c>
      <c r="D467" s="44" t="inlineStr">
        <is>
          <t>S&amp;P 500</t>
        </is>
      </c>
      <c r="E467" s="44" t="inlineStr">
        <is>
          <t>Healthcare</t>
        </is>
      </c>
      <c r="F467" s="45" t="n">
        <v>377723977728</v>
      </c>
      <c r="G467" s="44" t="inlineStr">
        <is>
          <t>nightly refresh</t>
        </is>
      </c>
      <c r="H467" s="43" t="n">
        <v>32</v>
      </c>
      <c r="I467" s="44" t="inlineStr">
        <is>
          <t>Yes</t>
        </is>
      </c>
      <c r="J467" s="44" t="inlineStr">
        <is>
          <t>1962-01-02</t>
        </is>
      </c>
      <c r="K467" s="43" t="n">
        <v>6701</v>
      </c>
      <c r="L467" s="44" t="inlineStr">
        <is>
          <t>2000-01-03</t>
        </is>
      </c>
      <c r="M467" s="44" t="inlineStr">
        <is>
          <t>2026-08-25</t>
        </is>
      </c>
      <c r="N467" s="43" t="n">
        <v>325</v>
      </c>
      <c r="O467" s="46" t="n">
        <v>-17.5806</v>
      </c>
      <c r="P467" s="46" t="n">
        <v>-60.615</v>
      </c>
      <c r="Q467" s="46" t="n">
        <v>33.1776</v>
      </c>
      <c r="R467" s="46" t="n">
        <v>-0.2995</v>
      </c>
      <c r="S467" s="47">
        <f>IF($I467="Yes",$O467,"")</f>
        <v/>
      </c>
    </row>
    <row r="468">
      <c r="A468" s="48" t="inlineStr">
        <is>
          <t>MRNA</t>
        </is>
      </c>
      <c r="B468" s="49" t="inlineStr">
        <is>
          <t>Moderna, Inc.</t>
        </is>
      </c>
      <c r="C468" s="49" t="inlineStr">
        <is>
          <t>US</t>
        </is>
      </c>
      <c r="D468" s="49" t="inlineStr">
        <is>
          <t>S&amp;P 500</t>
        </is>
      </c>
      <c r="E468" s="49" t="inlineStr">
        <is>
          <t>Healthcare</t>
        </is>
      </c>
      <c r="F468" s="50" t="n">
        <v>59749646336</v>
      </c>
      <c r="G468" s="49" t="inlineStr">
        <is>
          <t>nightly refresh</t>
        </is>
      </c>
      <c r="H468" s="48" t="n">
        <v>204</v>
      </c>
      <c r="I468" s="49" t="inlineStr">
        <is>
          <t>No</t>
        </is>
      </c>
      <c r="J468" s="49" t="inlineStr">
        <is>
          <t>2018-12-07</t>
        </is>
      </c>
      <c r="K468" s="48" t="n">
        <v>1938</v>
      </c>
      <c r="L468" s="49" t="inlineStr">
        <is>
          <t>2018-12-07</t>
        </is>
      </c>
      <c r="M468" s="49" t="inlineStr">
        <is>
          <t>2026-08-25</t>
        </is>
      </c>
      <c r="N468" s="48" t="n">
        <v>110</v>
      </c>
      <c r="O468" s="51" t="n">
        <v>-46.3747</v>
      </c>
      <c r="P468" s="51" t="n">
        <v>-86.1266</v>
      </c>
      <c r="Q468" s="51" t="n">
        <v>150.5799</v>
      </c>
      <c r="R468" s="51" t="n">
        <v>-10.0928</v>
      </c>
      <c r="S468" s="52">
        <f>IF($I468="Yes",$O468,"")</f>
        <v/>
      </c>
    </row>
    <row r="469">
      <c r="A469" s="43" t="inlineStr">
        <is>
          <t>MTD</t>
        </is>
      </c>
      <c r="B469" s="44" t="inlineStr">
        <is>
          <t>Mettler-Toledo International Inc.</t>
        </is>
      </c>
      <c r="C469" s="44" t="inlineStr">
        <is>
          <t>US</t>
        </is>
      </c>
      <c r="D469" s="44" t="inlineStr">
        <is>
          <t>S&amp;P 500</t>
        </is>
      </c>
      <c r="E469" s="44" t="inlineStr">
        <is>
          <t>Healthcare</t>
        </is>
      </c>
      <c r="F469" s="45" t="n">
        <v>28020326400</v>
      </c>
      <c r="G469" s="44" t="inlineStr">
        <is>
          <t>nightly refresh</t>
        </is>
      </c>
      <c r="H469" s="43" t="n">
        <v>330</v>
      </c>
      <c r="I469" s="44" t="inlineStr">
        <is>
          <t>No</t>
        </is>
      </c>
      <c r="J469" s="44" t="inlineStr">
        <is>
          <t>1997-11-14</t>
        </is>
      </c>
      <c r="K469" s="43" t="n">
        <v>6701</v>
      </c>
      <c r="L469" s="44" t="inlineStr">
        <is>
          <t>2000-01-03</t>
        </is>
      </c>
      <c r="M469" s="44" t="inlineStr">
        <is>
          <t>2026-08-25</t>
        </is>
      </c>
      <c r="N469" s="43" t="n">
        <v>330</v>
      </c>
      <c r="O469" s="46" t="n">
        <v>-17.9238</v>
      </c>
      <c r="P469" s="46" t="n">
        <v>-58.5381</v>
      </c>
      <c r="Q469" s="46" t="n">
        <v>44.4815</v>
      </c>
      <c r="R469" s="46" t="n">
        <v>-8.0594</v>
      </c>
      <c r="S469" s="47">
        <f>IF($I469="Yes",$O469,"")</f>
        <v/>
      </c>
    </row>
    <row r="470">
      <c r="A470" s="48" t="inlineStr">
        <is>
          <t>PFE</t>
        </is>
      </c>
      <c r="B470" s="49" t="inlineStr">
        <is>
          <t>Pfizer Inc.</t>
        </is>
      </c>
      <c r="C470" s="49" t="inlineStr">
        <is>
          <t>US</t>
        </is>
      </c>
      <c r="D470" s="49" t="inlineStr">
        <is>
          <t>S&amp;P 500</t>
        </is>
      </c>
      <c r="E470" s="49" t="inlineStr">
        <is>
          <t>Healthcare</t>
        </is>
      </c>
      <c r="F470" s="50" t="n">
        <v>161300758528</v>
      </c>
      <c r="G470" s="49" t="inlineStr">
        <is>
          <t>nightly refresh</t>
        </is>
      </c>
      <c r="H470" s="48" t="n">
        <v>82</v>
      </c>
      <c r="I470" s="49" t="inlineStr">
        <is>
          <t>No</t>
        </is>
      </c>
      <c r="J470" s="49" t="inlineStr">
        <is>
          <t>1972-06-01</t>
        </is>
      </c>
      <c r="K470" s="48" t="n">
        <v>6701</v>
      </c>
      <c r="L470" s="49" t="inlineStr">
        <is>
          <t>2000-01-03</t>
        </is>
      </c>
      <c r="M470" s="49" t="inlineStr">
        <is>
          <t>2026-08-25</t>
        </is>
      </c>
      <c r="N470" s="48" t="n">
        <v>347</v>
      </c>
      <c r="O470" s="51" t="n">
        <v>-17.2223</v>
      </c>
      <c r="P470" s="51" t="n">
        <v>-50.272</v>
      </c>
      <c r="Q470" s="51" t="n">
        <v>28.4177</v>
      </c>
      <c r="R470" s="51" t="n">
        <v>-0.035</v>
      </c>
      <c r="S470" s="52">
        <f>IF($I470="Yes",$O470,"")</f>
        <v/>
      </c>
    </row>
    <row r="471">
      <c r="A471" s="43" t="inlineStr">
        <is>
          <t>PODD</t>
        </is>
      </c>
      <c r="B471" s="44" t="inlineStr">
        <is>
          <t>Insulet Corporation</t>
        </is>
      </c>
      <c r="C471" s="44" t="inlineStr">
        <is>
          <t>US</t>
        </is>
      </c>
      <c r="D471" s="44" t="inlineStr">
        <is>
          <t>S&amp;P 500</t>
        </is>
      </c>
      <c r="E471" s="44" t="inlineStr">
        <is>
          <t>Healthcare</t>
        </is>
      </c>
      <c r="F471" s="45" t="n">
        <v>9944005632</v>
      </c>
      <c r="G471" s="44" t="inlineStr">
        <is>
          <t>nightly refresh</t>
        </is>
      </c>
      <c r="H471" s="43" t="n">
        <v>492</v>
      </c>
      <c r="I471" s="44" t="inlineStr">
        <is>
          <t>No</t>
        </is>
      </c>
      <c r="J471" s="44" t="inlineStr">
        <is>
          <t>2007-05-15</t>
        </is>
      </c>
      <c r="K471" s="43" t="n">
        <v>4851</v>
      </c>
      <c r="L471" s="44" t="inlineStr">
        <is>
          <t>2007-05-15</t>
        </is>
      </c>
      <c r="M471" s="44" t="inlineStr">
        <is>
          <t>2026-08-25</t>
        </is>
      </c>
      <c r="N471" s="43" t="n">
        <v>284</v>
      </c>
      <c r="O471" s="46" t="n">
        <v>-24.4488</v>
      </c>
      <c r="P471" s="46" t="n">
        <v>-88.474</v>
      </c>
      <c r="Q471" s="46" t="n">
        <v>81.5988</v>
      </c>
      <c r="R471" s="46" t="n">
        <v>-59.6906</v>
      </c>
      <c r="S471" s="47">
        <f>IF($I471="Yes",$O471,"")</f>
        <v/>
      </c>
    </row>
    <row r="472">
      <c r="A472" s="48" t="inlineStr">
        <is>
          <t>REGN</t>
        </is>
      </c>
      <c r="B472" s="49" t="inlineStr">
        <is>
          <t>Regeneron Pharmaceuticals, Inc.</t>
        </is>
      </c>
      <c r="C472" s="49" t="inlineStr">
        <is>
          <t>US</t>
        </is>
      </c>
      <c r="D472" s="49" t="inlineStr">
        <is>
          <t>S&amp;P 500</t>
        </is>
      </c>
      <c r="E472" s="49" t="inlineStr">
        <is>
          <t>Healthcare</t>
        </is>
      </c>
      <c r="F472" s="50" t="n">
        <v>83886694400</v>
      </c>
      <c r="G472" s="49" t="inlineStr">
        <is>
          <t>nightly refresh</t>
        </is>
      </c>
      <c r="H472" s="48" t="n">
        <v>153</v>
      </c>
      <c r="I472" s="49" t="inlineStr">
        <is>
          <t>No</t>
        </is>
      </c>
      <c r="J472" s="49" t="inlineStr">
        <is>
          <t>1991-04-02</t>
        </is>
      </c>
      <c r="K472" s="48" t="n">
        <v>6701</v>
      </c>
      <c r="L472" s="49" t="inlineStr">
        <is>
          <t>2000-01-03</t>
        </is>
      </c>
      <c r="M472" s="49" t="inlineStr">
        <is>
          <t>2026-08-25</t>
        </is>
      </c>
      <c r="N472" s="48" t="n">
        <v>371</v>
      </c>
      <c r="O472" s="51" t="n">
        <v>-28.2329</v>
      </c>
      <c r="P472" s="51" t="n">
        <v>-74.90649999999999</v>
      </c>
      <c r="Q472" s="51" t="n">
        <v>79.4499</v>
      </c>
      <c r="R472" s="51" t="n">
        <v>-1.5868</v>
      </c>
      <c r="S472" s="52">
        <f>IF($I472="Yes",$O472,"")</f>
        <v/>
      </c>
    </row>
    <row r="473">
      <c r="A473" s="43" t="inlineStr">
        <is>
          <t>RMD</t>
        </is>
      </c>
      <c r="B473" s="44" t="inlineStr">
        <is>
          <t>ResMed Inc.</t>
        </is>
      </c>
      <c r="C473" s="44" t="inlineStr">
        <is>
          <t>US</t>
        </is>
      </c>
      <c r="D473" s="44" t="inlineStr">
        <is>
          <t>S&amp;P 500</t>
        </is>
      </c>
      <c r="E473" s="44" t="inlineStr">
        <is>
          <t>Healthcare</t>
        </is>
      </c>
      <c r="F473" s="45" t="n">
        <v>33998825472</v>
      </c>
      <c r="G473" s="44" t="inlineStr">
        <is>
          <t>nightly refresh</t>
        </is>
      </c>
      <c r="H473" s="43" t="n">
        <v>300</v>
      </c>
      <c r="I473" s="44" t="inlineStr">
        <is>
          <t>No</t>
        </is>
      </c>
      <c r="J473" s="44" t="inlineStr">
        <is>
          <t>1995-06-02</t>
        </is>
      </c>
      <c r="K473" s="43" t="n">
        <v>6701</v>
      </c>
      <c r="L473" s="44" t="inlineStr">
        <is>
          <t>2000-01-03</t>
        </is>
      </c>
      <c r="M473" s="44" t="inlineStr">
        <is>
          <t>2026-08-25</t>
        </is>
      </c>
      <c r="N473" s="43" t="n">
        <v>360</v>
      </c>
      <c r="O473" s="46" t="n">
        <v>-18.6549</v>
      </c>
      <c r="P473" s="46" t="n">
        <v>-60.2894</v>
      </c>
      <c r="Q473" s="46" t="n">
        <v>46.4971</v>
      </c>
      <c r="R473" s="46" t="n">
        <v>-18.7925</v>
      </c>
      <c r="S473" s="47">
        <f>IF($I473="Yes",$O473,"")</f>
        <v/>
      </c>
    </row>
    <row r="474">
      <c r="A474" s="48" t="inlineStr">
        <is>
          <t>RVTY</t>
        </is>
      </c>
      <c r="B474" s="49" t="inlineStr">
        <is>
          <t>Revvity, Inc.</t>
        </is>
      </c>
      <c r="C474" s="49" t="inlineStr">
        <is>
          <t>US</t>
        </is>
      </c>
      <c r="D474" s="49" t="inlineStr">
        <is>
          <t>S&amp;P 500</t>
        </is>
      </c>
      <c r="E474" s="49" t="inlineStr">
        <is>
          <t>Healthcare</t>
        </is>
      </c>
      <c r="F474" s="50" t="n">
        <v>14098941952</v>
      </c>
      <c r="G474" s="49" t="inlineStr">
        <is>
          <t>nightly refresh</t>
        </is>
      </c>
      <c r="H474" s="48" t="n">
        <v>452</v>
      </c>
      <c r="I474" s="49" t="inlineStr">
        <is>
          <t>No</t>
        </is>
      </c>
      <c r="J474" s="49" t="inlineStr">
        <is>
          <t>1973-02-21</t>
        </is>
      </c>
      <c r="K474" s="48" t="n">
        <v>6701</v>
      </c>
      <c r="L474" s="49" t="inlineStr">
        <is>
          <t>2000-01-03</t>
        </is>
      </c>
      <c r="M474" s="49" t="inlineStr">
        <is>
          <t>2026-08-25</t>
        </is>
      </c>
      <c r="N474" s="48" t="n">
        <v>359</v>
      </c>
      <c r="O474" s="51" t="n">
        <v>-22.2062</v>
      </c>
      <c r="P474" s="51" t="n">
        <v>-87.5907</v>
      </c>
      <c r="Q474" s="51" t="n">
        <v>51.4973</v>
      </c>
      <c r="R474" s="51" t="n">
        <v>-0.104</v>
      </c>
      <c r="S474" s="52">
        <f>IF($I474="Yes",$O474,"")</f>
        <v/>
      </c>
    </row>
    <row r="475">
      <c r="A475" s="43" t="inlineStr">
        <is>
          <t>SOLV</t>
        </is>
      </c>
      <c r="B475" s="44" t="inlineStr">
        <is>
          <t>Solventum Corporation</t>
        </is>
      </c>
      <c r="C475" s="44" t="inlineStr">
        <is>
          <t>US</t>
        </is>
      </c>
      <c r="D475" s="44" t="inlineStr">
        <is>
          <t>S&amp;P 500</t>
        </is>
      </c>
      <c r="E475" s="44" t="inlineStr">
        <is>
          <t>Healthcare</t>
        </is>
      </c>
      <c r="F475" s="45" t="n">
        <v>15580577792</v>
      </c>
      <c r="G475" s="44" t="inlineStr">
        <is>
          <t>nightly refresh</t>
        </is>
      </c>
      <c r="H475" s="43" t="n">
        <v>438</v>
      </c>
      <c r="I475" s="44" t="inlineStr">
        <is>
          <t>No</t>
        </is>
      </c>
      <c r="J475" s="44" t="inlineStr">
        <is>
          <t>2024-03-26</t>
        </is>
      </c>
      <c r="K475" s="43" t="n">
        <v>606</v>
      </c>
      <c r="L475" s="44" t="inlineStr">
        <is>
          <t>2024-03-26</t>
        </is>
      </c>
      <c r="M475" s="44" t="inlineStr">
        <is>
          <t>2026-08-25</t>
        </is>
      </c>
      <c r="N475" s="43" t="n">
        <v>39</v>
      </c>
      <c r="O475" s="46" t="n">
        <v>-22.977</v>
      </c>
      <c r="P475" s="46" t="n">
        <v>-50.0052</v>
      </c>
      <c r="Q475" s="46" t="n">
        <v>37.0721</v>
      </c>
      <c r="R475" s="46" t="n">
        <v>-0.478</v>
      </c>
      <c r="S475" s="47">
        <f>IF($I475="Yes",$O475,"")</f>
        <v/>
      </c>
    </row>
    <row r="476">
      <c r="A476" s="48" t="inlineStr">
        <is>
          <t>STE</t>
        </is>
      </c>
      <c r="B476" s="49" t="inlineStr">
        <is>
          <t>STERIS plc</t>
        </is>
      </c>
      <c r="C476" s="49" t="inlineStr">
        <is>
          <t>US</t>
        </is>
      </c>
      <c r="D476" s="49" t="inlineStr">
        <is>
          <t>S&amp;P 500</t>
        </is>
      </c>
      <c r="E476" s="49" t="inlineStr">
        <is>
          <t>Healthcare</t>
        </is>
      </c>
      <c r="F476" s="50" t="n">
        <v>23085101056</v>
      </c>
      <c r="G476" s="49" t="inlineStr">
        <is>
          <t>nightly refresh</t>
        </is>
      </c>
      <c r="H476" s="48" t="n">
        <v>380</v>
      </c>
      <c r="I476" s="49" t="inlineStr">
        <is>
          <t>No</t>
        </is>
      </c>
      <c r="J476" s="49" t="inlineStr">
        <is>
          <t>1992-06-01</t>
        </is>
      </c>
      <c r="K476" s="48" t="n">
        <v>6701</v>
      </c>
      <c r="L476" s="49" t="inlineStr">
        <is>
          <t>2000-01-03</t>
        </is>
      </c>
      <c r="M476" s="49" t="inlineStr">
        <is>
          <t>2026-08-25</t>
        </is>
      </c>
      <c r="N476" s="48" t="n">
        <v>350</v>
      </c>
      <c r="O476" s="51" t="n">
        <v>-16.1845</v>
      </c>
      <c r="P476" s="51" t="n">
        <v>-50.2958</v>
      </c>
      <c r="Q476" s="51" t="n">
        <v>38.0335</v>
      </c>
      <c r="R476" s="51" t="n">
        <v>-11.7627</v>
      </c>
      <c r="S476" s="52">
        <f>IF($I476="Yes",$O476,"")</f>
        <v/>
      </c>
    </row>
    <row r="477">
      <c r="A477" s="43" t="inlineStr">
        <is>
          <t>SYK</t>
        </is>
      </c>
      <c r="B477" s="44" t="inlineStr">
        <is>
          <t>Stryker Corporation</t>
        </is>
      </c>
      <c r="C477" s="44" t="inlineStr">
        <is>
          <t>US</t>
        </is>
      </c>
      <c r="D477" s="44" t="inlineStr">
        <is>
          <t>S&amp;P 500</t>
        </is>
      </c>
      <c r="E477" s="44" t="inlineStr">
        <is>
          <t>Healthcare</t>
        </is>
      </c>
      <c r="F477" s="45" t="n">
        <v>126452531200</v>
      </c>
      <c r="G477" s="44" t="inlineStr">
        <is>
          <t>nightly refresh</t>
        </is>
      </c>
      <c r="H477" s="43" t="n">
        <v>101</v>
      </c>
      <c r="I477" s="44" t="inlineStr">
        <is>
          <t>No</t>
        </is>
      </c>
      <c r="J477" s="44" t="inlineStr">
        <is>
          <t>1980-03-17</t>
        </is>
      </c>
      <c r="K477" s="43" t="n">
        <v>6701</v>
      </c>
      <c r="L477" s="44" t="inlineStr">
        <is>
          <t>2000-01-03</t>
        </is>
      </c>
      <c r="M477" s="44" t="inlineStr">
        <is>
          <t>2026-08-25</t>
        </is>
      </c>
      <c r="N477" s="43" t="n">
        <v>319</v>
      </c>
      <c r="O477" s="46" t="n">
        <v>-15.5274</v>
      </c>
      <c r="P477" s="46" t="n">
        <v>-54.3384</v>
      </c>
      <c r="Q477" s="46" t="n">
        <v>38.4779</v>
      </c>
      <c r="R477" s="46" t="n">
        <v>-16.0745</v>
      </c>
      <c r="S477" s="47">
        <f>IF($I477="Yes",$O477,"")</f>
        <v/>
      </c>
    </row>
    <row r="478">
      <c r="A478" s="48" t="inlineStr">
        <is>
          <t>TECH</t>
        </is>
      </c>
      <c r="B478" s="49" t="inlineStr">
        <is>
          <t>Bio-Techne Corporation</t>
        </is>
      </c>
      <c r="C478" s="49" t="inlineStr">
        <is>
          <t>US</t>
        </is>
      </c>
      <c r="D478" s="49" t="inlineStr">
        <is>
          <t>S&amp;P 500</t>
        </is>
      </c>
      <c r="E478" s="49" t="inlineStr">
        <is>
          <t>Healthcare</t>
        </is>
      </c>
      <c r="F478" s="50" t="n">
        <v>11350503424</v>
      </c>
      <c r="G478" s="49" t="inlineStr">
        <is>
          <t>nightly refresh</t>
        </is>
      </c>
      <c r="H478" s="48" t="n">
        <v>481</v>
      </c>
      <c r="I478" s="49" t="inlineStr">
        <is>
          <t>No</t>
        </is>
      </c>
      <c r="J478" s="49" t="inlineStr">
        <is>
          <t>1989-02-09</t>
        </is>
      </c>
      <c r="K478" s="48" t="n">
        <v>6701</v>
      </c>
      <c r="L478" s="49" t="inlineStr">
        <is>
          <t>2000-01-03</t>
        </is>
      </c>
      <c r="M478" s="49" t="inlineStr">
        <is>
          <t>2026-08-25</t>
        </is>
      </c>
      <c r="N478" s="48" t="n">
        <v>362</v>
      </c>
      <c r="O478" s="51" t="n">
        <v>-20.0994</v>
      </c>
      <c r="P478" s="51" t="n">
        <v>-71.842</v>
      </c>
      <c r="Q478" s="51" t="n">
        <v>43.1868</v>
      </c>
      <c r="R478" s="51" t="n">
        <v>-0.289</v>
      </c>
      <c r="S478" s="52">
        <f>IF($I478="Yes",$O478,"")</f>
        <v/>
      </c>
    </row>
    <row r="479">
      <c r="A479" s="43" t="inlineStr">
        <is>
          <t>TMO</t>
        </is>
      </c>
      <c r="B479" s="44" t="inlineStr">
        <is>
          <t>Thermo Fisher Scientific Inc.</t>
        </is>
      </c>
      <c r="C479" s="44" t="inlineStr">
        <is>
          <t>US</t>
        </is>
      </c>
      <c r="D479" s="44" t="inlineStr">
        <is>
          <t>S&amp;P 500</t>
        </is>
      </c>
      <c r="E479" s="44" t="inlineStr">
        <is>
          <t>Healthcare</t>
        </is>
      </c>
      <c r="F479" s="45" t="n">
        <v>234312564736</v>
      </c>
      <c r="G479" s="44" t="inlineStr">
        <is>
          <t>nightly refresh</t>
        </is>
      </c>
      <c r="H479" s="43" t="n">
        <v>50</v>
      </c>
      <c r="I479" s="44" t="inlineStr">
        <is>
          <t>Yes</t>
        </is>
      </c>
      <c r="J479" s="44" t="inlineStr">
        <is>
          <t>1980-03-17</t>
        </is>
      </c>
      <c r="K479" s="43" t="n">
        <v>6701</v>
      </c>
      <c r="L479" s="44" t="inlineStr">
        <is>
          <t>2000-01-03</t>
        </is>
      </c>
      <c r="M479" s="44" t="inlineStr">
        <is>
          <t>2026-08-25</t>
        </is>
      </c>
      <c r="N479" s="43" t="n">
        <v>336</v>
      </c>
      <c r="O479" s="46" t="n">
        <v>-16.2428</v>
      </c>
      <c r="P479" s="46" t="n">
        <v>-53.9589</v>
      </c>
      <c r="Q479" s="46" t="n">
        <v>40.9533</v>
      </c>
      <c r="R479" s="46" t="n">
        <v>-2.3632</v>
      </c>
      <c r="S479" s="47">
        <f>IF($I479="Yes",$O479,"")</f>
        <v/>
      </c>
    </row>
    <row r="480">
      <c r="A480" s="48" t="inlineStr">
        <is>
          <t>UHS</t>
        </is>
      </c>
      <c r="B480" s="49" t="inlineStr">
        <is>
          <t>Universal Health Services, Inc.</t>
        </is>
      </c>
      <c r="C480" s="49" t="inlineStr">
        <is>
          <t>US</t>
        </is>
      </c>
      <c r="D480" s="49" t="inlineStr">
        <is>
          <t>S&amp;P 500</t>
        </is>
      </c>
      <c r="E480" s="49" t="inlineStr">
        <is>
          <t>Healthcare</t>
        </is>
      </c>
      <c r="F480" s="50" t="n">
        <v>10531365888</v>
      </c>
      <c r="G480" s="49" t="inlineStr">
        <is>
          <t>nightly refresh</t>
        </is>
      </c>
      <c r="H480" s="48" t="n">
        <v>484</v>
      </c>
      <c r="I480" s="49" t="inlineStr">
        <is>
          <t>No</t>
        </is>
      </c>
      <c r="J480" s="49" t="inlineStr">
        <is>
          <t>1981-07-09</t>
        </is>
      </c>
      <c r="K480" s="48" t="n">
        <v>6701</v>
      </c>
      <c r="L480" s="49" t="inlineStr">
        <is>
          <t>2000-01-03</t>
        </is>
      </c>
      <c r="M480" s="49" t="inlineStr">
        <is>
          <t>2026-08-25</t>
        </is>
      </c>
      <c r="N480" s="48" t="n">
        <v>364</v>
      </c>
      <c r="O480" s="51" t="n">
        <v>-19.6493</v>
      </c>
      <c r="P480" s="51" t="n">
        <v>-56.9131</v>
      </c>
      <c r="Q480" s="51" t="n">
        <v>46.3652</v>
      </c>
      <c r="R480" s="51" t="n">
        <v>-28.422</v>
      </c>
      <c r="S480" s="52">
        <f>IF($I480="Yes",$O480,"")</f>
        <v/>
      </c>
    </row>
    <row r="481">
      <c r="A481" s="43" t="inlineStr">
        <is>
          <t>UNH</t>
        </is>
      </c>
      <c r="B481" s="44" t="inlineStr">
        <is>
          <t>UnitedHealth Group Incorporated</t>
        </is>
      </c>
      <c r="C481" s="44" t="inlineStr">
        <is>
          <t>US</t>
        </is>
      </c>
      <c r="D481" s="44" t="inlineStr">
        <is>
          <t>S&amp;P 500</t>
        </is>
      </c>
      <c r="E481" s="44" t="inlineStr">
        <is>
          <t>Healthcare</t>
        </is>
      </c>
      <c r="F481" s="45" t="n">
        <v>359944519680</v>
      </c>
      <c r="G481" s="44" t="inlineStr">
        <is>
          <t>nightly refresh</t>
        </is>
      </c>
      <c r="H481" s="43" t="n">
        <v>34</v>
      </c>
      <c r="I481" s="44" t="inlineStr">
        <is>
          <t>Yes</t>
        </is>
      </c>
      <c r="J481" s="44" t="inlineStr">
        <is>
          <t>1984-10-17</t>
        </is>
      </c>
      <c r="K481" s="43" t="n">
        <v>6701</v>
      </c>
      <c r="L481" s="44" t="inlineStr">
        <is>
          <t>2000-01-03</t>
        </is>
      </c>
      <c r="M481" s="44" t="inlineStr">
        <is>
          <t>2026-08-25</t>
        </is>
      </c>
      <c r="N481" s="43" t="n">
        <v>315</v>
      </c>
      <c r="O481" s="46" t="n">
        <v>-16.4497</v>
      </c>
      <c r="P481" s="46" t="n">
        <v>-72.56270000000001</v>
      </c>
      <c r="Q481" s="46" t="n">
        <v>48.4666</v>
      </c>
      <c r="R481" s="46" t="n">
        <v>-14.0873</v>
      </c>
      <c r="S481" s="47">
        <f>IF($I481="Yes",$O481,"")</f>
        <v/>
      </c>
    </row>
    <row r="482">
      <c r="A482" s="48" t="inlineStr">
        <is>
          <t>VEEV</t>
        </is>
      </c>
      <c r="B482" s="49" t="inlineStr">
        <is>
          <t>Veeva Systems Inc.</t>
        </is>
      </c>
      <c r="C482" s="49" t="inlineStr">
        <is>
          <t>US</t>
        </is>
      </c>
      <c r="D482" s="49" t="inlineStr">
        <is>
          <t>S&amp;P 500</t>
        </is>
      </c>
      <c r="E482" s="49" t="inlineStr">
        <is>
          <t>Healthcare</t>
        </is>
      </c>
      <c r="F482" s="50" t="n">
        <v>39783989248</v>
      </c>
      <c r="G482" s="49" t="inlineStr">
        <is>
          <t>nightly refresh</t>
        </is>
      </c>
      <c r="H482" s="48" t="n">
        <v>278</v>
      </c>
      <c r="I482" s="49" t="inlineStr">
        <is>
          <t>No</t>
        </is>
      </c>
      <c r="J482" s="49" t="inlineStr">
        <is>
          <t>2013-10-16</t>
        </is>
      </c>
      <c r="K482" s="48" t="n">
        <v>3233</v>
      </c>
      <c r="L482" s="49" t="inlineStr">
        <is>
          <t>2013-10-16</t>
        </is>
      </c>
      <c r="M482" s="49" t="inlineStr">
        <is>
          <t>2026-08-25</t>
        </is>
      </c>
      <c r="N482" s="48" t="n">
        <v>183</v>
      </c>
      <c r="O482" s="51" t="n">
        <v>-23.4784</v>
      </c>
      <c r="P482" s="51" t="n">
        <v>-63.5306</v>
      </c>
      <c r="Q482" s="51" t="n">
        <v>57.5625</v>
      </c>
      <c r="R482" s="51" t="n">
        <v>-20.5217</v>
      </c>
      <c r="S482" s="52">
        <f>IF($I482="Yes",$O482,"")</f>
        <v/>
      </c>
    </row>
    <row r="483">
      <c r="A483" s="43" t="inlineStr">
        <is>
          <t>VRTX</t>
        </is>
      </c>
      <c r="B483" s="44" t="inlineStr">
        <is>
          <t>Vertex Pharmaceuticals Incorporated</t>
        </is>
      </c>
      <c r="C483" s="44" t="inlineStr">
        <is>
          <t>US</t>
        </is>
      </c>
      <c r="D483" s="44" t="inlineStr">
        <is>
          <t>S&amp;P 500</t>
        </is>
      </c>
      <c r="E483" s="44" t="inlineStr">
        <is>
          <t>Healthcare</t>
        </is>
      </c>
      <c r="F483" s="45" t="n">
        <v>138716626944</v>
      </c>
      <c r="G483" s="44" t="inlineStr">
        <is>
          <t>nightly refresh</t>
        </is>
      </c>
      <c r="H483" s="43" t="n">
        <v>88</v>
      </c>
      <c r="I483" s="44" t="inlineStr">
        <is>
          <t>No</t>
        </is>
      </c>
      <c r="J483" s="44" t="inlineStr">
        <is>
          <t>1991-07-24</t>
        </is>
      </c>
      <c r="K483" s="43" t="n">
        <v>6701</v>
      </c>
      <c r="L483" s="44" t="inlineStr">
        <is>
          <t>2000-01-03</t>
        </is>
      </c>
      <c r="M483" s="44" t="inlineStr">
        <is>
          <t>2026-08-25</t>
        </is>
      </c>
      <c r="N483" s="43" t="n">
        <v>391</v>
      </c>
      <c r="O483" s="46" t="n">
        <v>-25.5333</v>
      </c>
      <c r="P483" s="46" t="n">
        <v>-83.3955</v>
      </c>
      <c r="Q483" s="46" t="n">
        <v>69.5712</v>
      </c>
      <c r="R483" s="46" t="n">
        <v>-0.5111</v>
      </c>
      <c r="S483" s="47">
        <f>IF($I483="Yes",$O483,"")</f>
        <v/>
      </c>
    </row>
    <row r="484">
      <c r="A484" s="48" t="inlineStr">
        <is>
          <t>VTRS</t>
        </is>
      </c>
      <c r="B484" s="49" t="inlineStr">
        <is>
          <t>Viatris Inc.</t>
        </is>
      </c>
      <c r="C484" s="49" t="inlineStr">
        <is>
          <t>US</t>
        </is>
      </c>
      <c r="D484" s="49" t="inlineStr">
        <is>
          <t>S&amp;P 500</t>
        </is>
      </c>
      <c r="E484" s="49" t="inlineStr">
        <is>
          <t>Healthcare</t>
        </is>
      </c>
      <c r="F484" s="50" t="n">
        <v>19353755648</v>
      </c>
      <c r="G484" s="49" t="inlineStr">
        <is>
          <t>nightly refresh</t>
        </is>
      </c>
      <c r="H484" s="48" t="n">
        <v>407</v>
      </c>
      <c r="I484" s="49" t="inlineStr">
        <is>
          <t>No</t>
        </is>
      </c>
      <c r="J484" s="49" t="inlineStr">
        <is>
          <t>1980-03-17</t>
        </is>
      </c>
      <c r="K484" s="48" t="n">
        <v>6701</v>
      </c>
      <c r="L484" s="49" t="inlineStr">
        <is>
          <t>2000-01-03</t>
        </is>
      </c>
      <c r="M484" s="49" t="inlineStr">
        <is>
          <t>2026-08-25</t>
        </is>
      </c>
      <c r="N484" s="48" t="n">
        <v>382</v>
      </c>
      <c r="O484" s="51" t="n">
        <v>-24.2604</v>
      </c>
      <c r="P484" s="51" t="n">
        <v>-62.9415</v>
      </c>
      <c r="Q484" s="51" t="n">
        <v>45.6205</v>
      </c>
      <c r="R484" s="51" t="n">
        <v>-8.399100000000001</v>
      </c>
      <c r="S484" s="52">
        <f>IF($I484="Yes",$O484,"")</f>
        <v/>
      </c>
    </row>
    <row r="485">
      <c r="A485" s="43" t="inlineStr">
        <is>
          <t>WAT</t>
        </is>
      </c>
      <c r="B485" s="44" t="inlineStr">
        <is>
          <t>Waters Corporation</t>
        </is>
      </c>
      <c r="C485" s="44" t="inlineStr">
        <is>
          <t>US</t>
        </is>
      </c>
      <c r="D485" s="44" t="inlineStr">
        <is>
          <t>S&amp;P 500</t>
        </is>
      </c>
      <c r="E485" s="44" t="inlineStr">
        <is>
          <t>Healthcare</t>
        </is>
      </c>
      <c r="F485" s="45" t="n">
        <v>40665636864</v>
      </c>
      <c r="G485" s="44" t="inlineStr">
        <is>
          <t>nightly refresh</t>
        </is>
      </c>
      <c r="H485" s="43" t="n">
        <v>271</v>
      </c>
      <c r="I485" s="44" t="inlineStr">
        <is>
          <t>No</t>
        </is>
      </c>
      <c r="J485" s="44" t="inlineStr">
        <is>
          <t>1995-11-17</t>
        </is>
      </c>
      <c r="K485" s="43" t="n">
        <v>6701</v>
      </c>
      <c r="L485" s="44" t="inlineStr">
        <is>
          <t>2000-01-03</t>
        </is>
      </c>
      <c r="M485" s="44" t="inlineStr">
        <is>
          <t>2026-08-25</t>
        </is>
      </c>
      <c r="N485" s="43" t="n">
        <v>339</v>
      </c>
      <c r="O485" s="46" t="n">
        <v>-21.4614</v>
      </c>
      <c r="P485" s="46" t="n">
        <v>-75.0928</v>
      </c>
      <c r="Q485" s="46" t="n">
        <v>46.577</v>
      </c>
      <c r="R485" s="46" t="n">
        <v>-1.7309</v>
      </c>
      <c r="S485" s="47">
        <f>IF($I485="Yes",$O485,"")</f>
        <v/>
      </c>
    </row>
    <row r="486">
      <c r="A486" s="48" t="inlineStr">
        <is>
          <t>WST</t>
        </is>
      </c>
      <c r="B486" s="49" t="inlineStr">
        <is>
          <t>West Pharmaceutical Services, Inc.</t>
        </is>
      </c>
      <c r="C486" s="49" t="inlineStr">
        <is>
          <t>US</t>
        </is>
      </c>
      <c r="D486" s="49" t="inlineStr">
        <is>
          <t>S&amp;P 500</t>
        </is>
      </c>
      <c r="E486" s="49" t="inlineStr">
        <is>
          <t>Healthcare</t>
        </is>
      </c>
      <c r="F486" s="50" t="n">
        <v>24625887232</v>
      </c>
      <c r="G486" s="49" t="inlineStr">
        <is>
          <t>nightly refresh</t>
        </is>
      </c>
      <c r="H486" s="48" t="n">
        <v>365</v>
      </c>
      <c r="I486" s="49" t="inlineStr">
        <is>
          <t>No</t>
        </is>
      </c>
      <c r="J486" s="49" t="inlineStr">
        <is>
          <t>1980-03-17</t>
        </is>
      </c>
      <c r="K486" s="48" t="n">
        <v>6701</v>
      </c>
      <c r="L486" s="49" t="inlineStr">
        <is>
          <t>2000-01-03</t>
        </is>
      </c>
      <c r="M486" s="49" t="inlineStr">
        <is>
          <t>2026-08-25</t>
        </is>
      </c>
      <c r="N486" s="48" t="n">
        <v>328</v>
      </c>
      <c r="O486" s="51" t="n">
        <v>-18.6728</v>
      </c>
      <c r="P486" s="51" t="n">
        <v>-55.859</v>
      </c>
      <c r="Q486" s="51" t="n">
        <v>47.9372</v>
      </c>
      <c r="R486" s="51" t="n">
        <v>-9.661199999999999</v>
      </c>
      <c r="S486" s="52">
        <f>IF($I486="Yes",$O486,"")</f>
        <v/>
      </c>
    </row>
    <row r="487">
      <c r="A487" s="43" t="inlineStr">
        <is>
          <t>ZBH</t>
        </is>
      </c>
      <c r="B487" s="44" t="inlineStr">
        <is>
          <t>Zimmer Biomet Holdings, Inc.</t>
        </is>
      </c>
      <c r="C487" s="44" t="inlineStr">
        <is>
          <t>US</t>
        </is>
      </c>
      <c r="D487" s="44" t="inlineStr">
        <is>
          <t>S&amp;P 500</t>
        </is>
      </c>
      <c r="E487" s="44" t="inlineStr">
        <is>
          <t>Healthcare</t>
        </is>
      </c>
      <c r="F487" s="45" t="n">
        <v>19336986624</v>
      </c>
      <c r="G487" s="44" t="inlineStr">
        <is>
          <t>nightly refresh</t>
        </is>
      </c>
      <c r="H487" s="43" t="n">
        <v>408</v>
      </c>
      <c r="I487" s="44" t="inlineStr">
        <is>
          <t>No</t>
        </is>
      </c>
      <c r="J487" s="44" t="inlineStr">
        <is>
          <t>2001-07-25</t>
        </is>
      </c>
      <c r="K487" s="43" t="n">
        <v>6308</v>
      </c>
      <c r="L487" s="44" t="inlineStr">
        <is>
          <t>2001-07-25</t>
        </is>
      </c>
      <c r="M487" s="44" t="inlineStr">
        <is>
          <t>2026-08-25</t>
        </is>
      </c>
      <c r="N487" s="43" t="n">
        <v>330</v>
      </c>
      <c r="O487" s="46" t="n">
        <v>-18.529</v>
      </c>
      <c r="P487" s="46" t="n">
        <v>-60.2941</v>
      </c>
      <c r="Q487" s="46" t="n">
        <v>37.562</v>
      </c>
      <c r="R487" s="46" t="n">
        <v>-6.7078</v>
      </c>
      <c r="S487" s="47">
        <f>IF($I487="Yes",$O487,"")</f>
        <v/>
      </c>
    </row>
    <row r="488">
      <c r="A488" s="48" t="inlineStr">
        <is>
          <t>ZTS</t>
        </is>
      </c>
      <c r="B488" s="49" t="inlineStr">
        <is>
          <t>Zoetis Inc.</t>
        </is>
      </c>
      <c r="C488" s="49" t="inlineStr">
        <is>
          <t>US</t>
        </is>
      </c>
      <c r="D488" s="49" t="inlineStr">
        <is>
          <t>S&amp;P 500</t>
        </is>
      </c>
      <c r="E488" s="49" t="inlineStr">
        <is>
          <t>Healthcare</t>
        </is>
      </c>
      <c r="F488" s="50" t="n">
        <v>32033093632</v>
      </c>
      <c r="G488" s="49" t="inlineStr">
        <is>
          <t>nightly refresh</t>
        </is>
      </c>
      <c r="H488" s="48" t="n">
        <v>311</v>
      </c>
      <c r="I488" s="49" t="inlineStr">
        <is>
          <t>No</t>
        </is>
      </c>
      <c r="J488" s="49" t="inlineStr">
        <is>
          <t>2013-02-01</t>
        </is>
      </c>
      <c r="K488" s="48" t="n">
        <v>3411</v>
      </c>
      <c r="L488" s="49" t="inlineStr">
        <is>
          <t>2013-02-01</t>
        </is>
      </c>
      <c r="M488" s="49" t="inlineStr">
        <is>
          <t>2026-08-25</t>
        </is>
      </c>
      <c r="N488" s="48" t="n">
        <v>163</v>
      </c>
      <c r="O488" s="51" t="n">
        <v>-17.3165</v>
      </c>
      <c r="P488" s="51" t="n">
        <v>-56.237</v>
      </c>
      <c r="Q488" s="51" t="n">
        <v>37.1063</v>
      </c>
      <c r="R488" s="51" t="n">
        <v>-50.2391</v>
      </c>
      <c r="S488" s="52">
        <f>IF($I488="Yes",$O488,"")</f>
        <v/>
      </c>
    </row>
    <row r="489">
      <c r="A489" s="43" t="inlineStr">
        <is>
          <t>ALLE</t>
        </is>
      </c>
      <c r="B489" s="44" t="inlineStr">
        <is>
          <t>Allegion plc</t>
        </is>
      </c>
      <c r="C489" s="44" t="inlineStr">
        <is>
          <t>US</t>
        </is>
      </c>
      <c r="D489" s="44" t="inlineStr">
        <is>
          <t>S&amp;P 500</t>
        </is>
      </c>
      <c r="E489" s="44" t="inlineStr">
        <is>
          <t>Industrials</t>
        </is>
      </c>
      <c r="F489" s="45" t="n">
        <v>13629696000</v>
      </c>
      <c r="G489" s="44" t="inlineStr">
        <is>
          <t>nightly refresh</t>
        </is>
      </c>
      <c r="H489" s="43" t="n">
        <v>459</v>
      </c>
      <c r="I489" s="44" t="inlineStr">
        <is>
          <t>No</t>
        </is>
      </c>
      <c r="J489" s="44" t="inlineStr">
        <is>
          <t>2013-11-18</t>
        </is>
      </c>
      <c r="K489" s="43" t="n">
        <v>3210</v>
      </c>
      <c r="L489" s="44" t="inlineStr">
        <is>
          <t>2013-11-18</t>
        </is>
      </c>
      <c r="M489" s="44" t="inlineStr">
        <is>
          <t>2026-08-25</t>
        </is>
      </c>
      <c r="N489" s="43" t="n">
        <v>163</v>
      </c>
      <c r="O489" s="46" t="n">
        <v>-15.8791</v>
      </c>
      <c r="P489" s="46" t="n">
        <v>-43.3887</v>
      </c>
      <c r="Q489" s="46" t="n">
        <v>33.3464</v>
      </c>
      <c r="R489" s="46" t="n">
        <v>-12.0872</v>
      </c>
      <c r="S489" s="47">
        <f>IF($I489="Yes",$O489,"")</f>
        <v/>
      </c>
    </row>
    <row r="490">
      <c r="A490" s="48" t="inlineStr">
        <is>
          <t>AME</t>
        </is>
      </c>
      <c r="B490" s="49" t="inlineStr">
        <is>
          <t>AMETEK, Inc.</t>
        </is>
      </c>
      <c r="C490" s="49" t="inlineStr">
        <is>
          <t>US</t>
        </is>
      </c>
      <c r="D490" s="49" t="inlineStr">
        <is>
          <t>S&amp;P 500</t>
        </is>
      </c>
      <c r="E490" s="49" t="inlineStr">
        <is>
          <t>Industrials</t>
        </is>
      </c>
      <c r="F490" s="50" t="n">
        <v>56214855680</v>
      </c>
      <c r="G490" s="49" t="inlineStr">
        <is>
          <t>nightly refresh</t>
        </is>
      </c>
      <c r="H490" s="48" t="n">
        <v>219</v>
      </c>
      <c r="I490" s="49" t="inlineStr">
        <is>
          <t>No</t>
        </is>
      </c>
      <c r="J490" s="49" t="inlineStr">
        <is>
          <t>1984-07-19</t>
        </is>
      </c>
      <c r="K490" s="48" t="n">
        <v>6701</v>
      </c>
      <c r="L490" s="49" t="inlineStr">
        <is>
          <t>2000-01-03</t>
        </is>
      </c>
      <c r="M490" s="49" t="inlineStr">
        <is>
          <t>2026-08-25</t>
        </is>
      </c>
      <c r="N490" s="48" t="n">
        <v>301</v>
      </c>
      <c r="O490" s="51" t="n">
        <v>-13.5421</v>
      </c>
      <c r="P490" s="51" t="n">
        <v>-53.3724</v>
      </c>
      <c r="Q490" s="51" t="n">
        <v>44.0642</v>
      </c>
      <c r="R490" s="51" t="n">
        <v>-7.4246</v>
      </c>
      <c r="S490" s="52">
        <f>IF($I490="Yes",$O490,"")</f>
        <v/>
      </c>
    </row>
    <row r="491">
      <c r="A491" s="43" t="inlineStr">
        <is>
          <t>AOS</t>
        </is>
      </c>
      <c r="B491" s="44" t="inlineStr">
        <is>
          <t>A. O. Smith Corporation</t>
        </is>
      </c>
      <c r="C491" s="44" t="inlineStr">
        <is>
          <t>US</t>
        </is>
      </c>
      <c r="D491" s="44" t="inlineStr">
        <is>
          <t>S&amp;P 500</t>
        </is>
      </c>
      <c r="E491" s="44" t="inlineStr">
        <is>
          <t>Industrials</t>
        </is>
      </c>
      <c r="F491" s="45" t="n">
        <v>8491567616</v>
      </c>
      <c r="G491" s="44" t="inlineStr">
        <is>
          <t>nightly refresh</t>
        </is>
      </c>
      <c r="H491" s="43" t="n">
        <v>495</v>
      </c>
      <c r="I491" s="44" t="inlineStr">
        <is>
          <t>No</t>
        </is>
      </c>
      <c r="J491" s="44" t="inlineStr">
        <is>
          <t>1983-09-30</t>
        </is>
      </c>
      <c r="K491" s="43" t="n">
        <v>6701</v>
      </c>
      <c r="L491" s="44" t="inlineStr">
        <is>
          <t>2000-01-03</t>
        </is>
      </c>
      <c r="M491" s="44" t="inlineStr">
        <is>
          <t>2026-08-25</t>
        </is>
      </c>
      <c r="N491" s="43" t="n">
        <v>349</v>
      </c>
      <c r="O491" s="46" t="n">
        <v>-19.4726</v>
      </c>
      <c r="P491" s="46" t="n">
        <v>-57.7823</v>
      </c>
      <c r="Q491" s="46" t="n">
        <v>48.7613</v>
      </c>
      <c r="R491" s="46" t="n">
        <v>-23.6554</v>
      </c>
      <c r="S491" s="47">
        <f>IF($I491="Yes",$O491,"")</f>
        <v/>
      </c>
    </row>
    <row r="492">
      <c r="A492" s="48" t="inlineStr">
        <is>
          <t>AXON</t>
        </is>
      </c>
      <c r="B492" s="49" t="inlineStr">
        <is>
          <t>Axon Enterprise, Inc.</t>
        </is>
      </c>
      <c r="C492" s="49" t="inlineStr">
        <is>
          <t>US</t>
        </is>
      </c>
      <c r="D492" s="49" t="inlineStr">
        <is>
          <t>S&amp;P 500</t>
        </is>
      </c>
      <c r="E492" s="49" t="inlineStr">
        <is>
          <t>Industrials</t>
        </is>
      </c>
      <c r="F492" s="50" t="n">
        <v>49350103040</v>
      </c>
      <c r="G492" s="49" t="inlineStr">
        <is>
          <t>nightly refresh</t>
        </is>
      </c>
      <c r="H492" s="48" t="n">
        <v>240</v>
      </c>
      <c r="I492" s="49" t="inlineStr">
        <is>
          <t>No</t>
        </is>
      </c>
      <c r="J492" s="49" t="inlineStr">
        <is>
          <t>2001-06-19</t>
        </is>
      </c>
      <c r="K492" s="48" t="n">
        <v>6333</v>
      </c>
      <c r="L492" s="49" t="inlineStr">
        <is>
          <t>2001-06-19</t>
        </is>
      </c>
      <c r="M492" s="49" t="inlineStr">
        <is>
          <t>2026-08-25</t>
        </is>
      </c>
      <c r="N492" s="48" t="n">
        <v>375</v>
      </c>
      <c r="O492" s="51" t="n">
        <v>-30.7112</v>
      </c>
      <c r="P492" s="51" t="n">
        <v>-83.95999999999999</v>
      </c>
      <c r="Q492" s="51" t="n">
        <v>201.7388</v>
      </c>
      <c r="R492" s="51" t="n">
        <v>-22.7914</v>
      </c>
      <c r="S492" s="52">
        <f>IF($I492="Yes",$O492,"")</f>
        <v/>
      </c>
    </row>
    <row r="493">
      <c r="A493" s="43" t="inlineStr">
        <is>
          <t>BA</t>
        </is>
      </c>
      <c r="B493" s="44" t="inlineStr">
        <is>
          <t>The Boeing Company</t>
        </is>
      </c>
      <c r="C493" s="44" t="inlineStr">
        <is>
          <t>US</t>
        </is>
      </c>
      <c r="D493" s="44" t="inlineStr">
        <is>
          <t>S&amp;P 500</t>
        </is>
      </c>
      <c r="E493" s="44" t="inlineStr">
        <is>
          <t>Industrials</t>
        </is>
      </c>
      <c r="F493" s="45" t="n">
        <v>167629586432</v>
      </c>
      <c r="G493" s="44" t="inlineStr">
        <is>
          <t>nightly refresh</t>
        </is>
      </c>
      <c r="H493" s="43" t="n">
        <v>79</v>
      </c>
      <c r="I493" s="44" t="inlineStr">
        <is>
          <t>No</t>
        </is>
      </c>
      <c r="J493" s="44" t="inlineStr">
        <is>
          <t>1962-01-02</t>
        </is>
      </c>
      <c r="K493" s="43" t="n">
        <v>6701</v>
      </c>
      <c r="L493" s="44" t="inlineStr">
        <is>
          <t>2000-01-03</t>
        </is>
      </c>
      <c r="M493" s="44" t="inlineStr">
        <is>
          <t>2026-08-25</t>
        </is>
      </c>
      <c r="N493" s="43" t="n">
        <v>335</v>
      </c>
      <c r="O493" s="46" t="n">
        <v>-23.1336</v>
      </c>
      <c r="P493" s="46" t="n">
        <v>-75.59610000000001</v>
      </c>
      <c r="Q493" s="46" t="n">
        <v>49.8062</v>
      </c>
      <c r="R493" s="46" t="n">
        <v>-17.012</v>
      </c>
      <c r="S493" s="47">
        <f>IF($I493="Yes",$O493,"")</f>
        <v/>
      </c>
    </row>
    <row r="494">
      <c r="A494" s="48" t="inlineStr">
        <is>
          <t>BLDR</t>
        </is>
      </c>
      <c r="B494" s="49" t="inlineStr">
        <is>
          <t>Builders FirstSource, Inc.</t>
        </is>
      </c>
      <c r="C494" s="49" t="inlineStr">
        <is>
          <t>US</t>
        </is>
      </c>
      <c r="D494" s="49" t="inlineStr">
        <is>
          <t>S&amp;P 500</t>
        </is>
      </c>
      <c r="E494" s="49" t="inlineStr">
        <is>
          <t>Industrials</t>
        </is>
      </c>
      <c r="F494" s="50" t="n">
        <v>7388648448</v>
      </c>
      <c r="G494" s="49" t="inlineStr">
        <is>
          <t>nightly refresh</t>
        </is>
      </c>
      <c r="H494" s="48" t="n">
        <v>499</v>
      </c>
      <c r="I494" s="49" t="inlineStr">
        <is>
          <t>No</t>
        </is>
      </c>
      <c r="J494" s="49" t="inlineStr">
        <is>
          <t>2005-06-28</t>
        </is>
      </c>
      <c r="K494" s="48" t="n">
        <v>5323</v>
      </c>
      <c r="L494" s="49" t="inlineStr">
        <is>
          <t>2005-06-28</t>
        </is>
      </c>
      <c r="M494" s="49" t="inlineStr">
        <is>
          <t>2026-08-25</t>
        </is>
      </c>
      <c r="N494" s="48" t="n">
        <v>312</v>
      </c>
      <c r="O494" s="51" t="n">
        <v>-32.4598</v>
      </c>
      <c r="P494" s="51" t="n">
        <v>-90.6109</v>
      </c>
      <c r="Q494" s="51" t="n">
        <v>110.3435</v>
      </c>
      <c r="R494" s="51" t="n">
        <v>-54.0753</v>
      </c>
      <c r="S494" s="52">
        <f>IF($I494="Yes",$O494,"")</f>
        <v/>
      </c>
    </row>
    <row r="495">
      <c r="A495" s="43" t="inlineStr">
        <is>
          <t>CARR</t>
        </is>
      </c>
      <c r="B495" s="44" t="inlineStr">
        <is>
          <t>Carrier Global Corporation</t>
        </is>
      </c>
      <c r="C495" s="44" t="inlineStr">
        <is>
          <t>US</t>
        </is>
      </c>
      <c r="D495" s="44" t="inlineStr">
        <is>
          <t>S&amp;P 500</t>
        </is>
      </c>
      <c r="E495" s="44" t="inlineStr">
        <is>
          <t>Industrials</t>
        </is>
      </c>
      <c r="F495" s="45" t="n">
        <v>48420855808</v>
      </c>
      <c r="G495" s="44" t="inlineStr">
        <is>
          <t>nightly refresh</t>
        </is>
      </c>
      <c r="H495" s="43" t="n">
        <v>243</v>
      </c>
      <c r="I495" s="44" t="inlineStr">
        <is>
          <t>No</t>
        </is>
      </c>
      <c r="J495" s="44" t="inlineStr">
        <is>
          <t>2020-03-19</t>
        </is>
      </c>
      <c r="K495" s="43" t="n">
        <v>1617</v>
      </c>
      <c r="L495" s="44" t="inlineStr">
        <is>
          <t>2020-03-19</t>
        </is>
      </c>
      <c r="M495" s="44" t="inlineStr">
        <is>
          <t>2026-08-25</t>
        </is>
      </c>
      <c r="N495" s="43" t="n">
        <v>85</v>
      </c>
      <c r="O495" s="46" t="n">
        <v>-18.2898</v>
      </c>
      <c r="P495" s="46" t="n">
        <v>-41.0482</v>
      </c>
      <c r="Q495" s="46" t="n">
        <v>69.60080000000001</v>
      </c>
      <c r="R495" s="46" t="n">
        <v>-23.4882</v>
      </c>
      <c r="S495" s="47">
        <f>IF($I495="Yes",$O495,"")</f>
        <v/>
      </c>
    </row>
    <row r="496">
      <c r="A496" s="48" t="inlineStr">
        <is>
          <t>CAT</t>
        </is>
      </c>
      <c r="B496" s="49" t="inlineStr">
        <is>
          <t>Caterpillar Inc.</t>
        </is>
      </c>
      <c r="C496" s="49" t="inlineStr">
        <is>
          <t>US</t>
        </is>
      </c>
      <c r="D496" s="49" t="inlineStr">
        <is>
          <t>S&amp;P 500</t>
        </is>
      </c>
      <c r="E496" s="49" t="inlineStr">
        <is>
          <t>Industrials</t>
        </is>
      </c>
      <c r="F496" s="50" t="n">
        <v>377820577792</v>
      </c>
      <c r="G496" s="49" t="inlineStr">
        <is>
          <t>nightly refresh</t>
        </is>
      </c>
      <c r="H496" s="48" t="n">
        <v>31</v>
      </c>
      <c r="I496" s="49" t="inlineStr">
        <is>
          <t>Yes</t>
        </is>
      </c>
      <c r="J496" s="49" t="inlineStr">
        <is>
          <t>1962-01-02</t>
        </is>
      </c>
      <c r="K496" s="48" t="n">
        <v>6701</v>
      </c>
      <c r="L496" s="49" t="inlineStr">
        <is>
          <t>2000-01-03</t>
        </is>
      </c>
      <c r="M496" s="49" t="inlineStr">
        <is>
          <t>2026-08-25</t>
        </is>
      </c>
      <c r="N496" s="48" t="n">
        <v>352</v>
      </c>
      <c r="O496" s="51" t="n">
        <v>-18.9163</v>
      </c>
      <c r="P496" s="51" t="n">
        <v>-73.51000000000001</v>
      </c>
      <c r="Q496" s="51" t="n">
        <v>56.5249</v>
      </c>
      <c r="R496" s="51" t="n">
        <v>-24.2827</v>
      </c>
      <c r="S496" s="52">
        <f>IF($I496="Yes",$O496,"")</f>
        <v/>
      </c>
    </row>
    <row r="497">
      <c r="A497" s="43" t="inlineStr">
        <is>
          <t>CHRW</t>
        </is>
      </c>
      <c r="B497" s="44" t="inlineStr">
        <is>
          <t>C.H. Robinson Worldwide, Inc.</t>
        </is>
      </c>
      <c r="C497" s="44" t="inlineStr">
        <is>
          <t>US</t>
        </is>
      </c>
      <c r="D497" s="44" t="inlineStr">
        <is>
          <t>S&amp;P 500</t>
        </is>
      </c>
      <c r="E497" s="44" t="inlineStr">
        <is>
          <t>Industrials</t>
        </is>
      </c>
      <c r="F497" s="45" t="n">
        <v>17729841152</v>
      </c>
      <c r="G497" s="44" t="inlineStr">
        <is>
          <t>nightly refresh</t>
        </is>
      </c>
      <c r="H497" s="43" t="n">
        <v>422</v>
      </c>
      <c r="I497" s="44" t="inlineStr">
        <is>
          <t>No</t>
        </is>
      </c>
      <c r="J497" s="44" t="inlineStr">
        <is>
          <t>1997-10-16</t>
        </is>
      </c>
      <c r="K497" s="43" t="n">
        <v>6701</v>
      </c>
      <c r="L497" s="44" t="inlineStr">
        <is>
          <t>2000-01-03</t>
        </is>
      </c>
      <c r="M497" s="44" t="inlineStr">
        <is>
          <t>2026-08-25</t>
        </is>
      </c>
      <c r="N497" s="43" t="n">
        <v>385</v>
      </c>
      <c r="O497" s="46" t="n">
        <v>-15.9576</v>
      </c>
      <c r="P497" s="46" t="n">
        <v>-42.427</v>
      </c>
      <c r="Q497" s="46" t="n">
        <v>37.594</v>
      </c>
      <c r="R497" s="46" t="n">
        <v>-31.6978</v>
      </c>
      <c r="S497" s="47">
        <f>IF($I497="Yes",$O497,"")</f>
        <v/>
      </c>
    </row>
    <row r="498">
      <c r="A498" s="48" t="inlineStr">
        <is>
          <t>CMI</t>
        </is>
      </c>
      <c r="B498" s="49" t="inlineStr">
        <is>
          <t>Cummins Inc.</t>
        </is>
      </c>
      <c r="C498" s="49" t="inlineStr">
        <is>
          <t>US</t>
        </is>
      </c>
      <c r="D498" s="49" t="inlineStr">
        <is>
          <t>S&amp;P 500</t>
        </is>
      </c>
      <c r="E498" s="49" t="inlineStr">
        <is>
          <t>Industrials</t>
        </is>
      </c>
      <c r="F498" s="50" t="n">
        <v>79589343232</v>
      </c>
      <c r="G498" s="49" t="inlineStr">
        <is>
          <t>nightly refresh</t>
        </is>
      </c>
      <c r="H498" s="48" t="n">
        <v>163</v>
      </c>
      <c r="I498" s="49" t="inlineStr">
        <is>
          <t>No</t>
        </is>
      </c>
      <c r="J498" s="49" t="inlineStr">
        <is>
          <t>1973-02-21</t>
        </is>
      </c>
      <c r="K498" s="48" t="n">
        <v>6701</v>
      </c>
      <c r="L498" s="49" t="inlineStr">
        <is>
          <t>2000-01-03</t>
        </is>
      </c>
      <c r="M498" s="49" t="inlineStr">
        <is>
          <t>2026-08-25</t>
        </is>
      </c>
      <c r="N498" s="48" t="n">
        <v>356</v>
      </c>
      <c r="O498" s="51" t="n">
        <v>-19.521</v>
      </c>
      <c r="P498" s="51" t="n">
        <v>-76.3408</v>
      </c>
      <c r="Q498" s="51" t="n">
        <v>62.1635</v>
      </c>
      <c r="R498" s="51" t="n">
        <v>-22.3772</v>
      </c>
      <c r="S498" s="52">
        <f>IF($I498="Yes",$O498,"")</f>
        <v/>
      </c>
    </row>
    <row r="499">
      <c r="A499" s="43" t="inlineStr">
        <is>
          <t>CPRT</t>
        </is>
      </c>
      <c r="B499" s="44" t="inlineStr">
        <is>
          <t>Copart, Inc.</t>
        </is>
      </c>
      <c r="C499" s="44" t="inlineStr">
        <is>
          <t>US</t>
        </is>
      </c>
      <c r="D499" s="44" t="inlineStr">
        <is>
          <t>S&amp;P 500</t>
        </is>
      </c>
      <c r="E499" s="44" t="inlineStr">
        <is>
          <t>Industrials</t>
        </is>
      </c>
      <c r="F499" s="45" t="n">
        <v>30246258688</v>
      </c>
      <c r="G499" s="44" t="inlineStr">
        <is>
          <t>nightly refresh</t>
        </is>
      </c>
      <c r="H499" s="43" t="n">
        <v>315</v>
      </c>
      <c r="I499" s="44" t="inlineStr">
        <is>
          <t>No</t>
        </is>
      </c>
      <c r="J499" s="44" t="inlineStr">
        <is>
          <t>1994-03-17</t>
        </is>
      </c>
      <c r="K499" s="43" t="n">
        <v>6701</v>
      </c>
      <c r="L499" s="44" t="inlineStr">
        <is>
          <t>2000-01-03</t>
        </is>
      </c>
      <c r="M499" s="44" t="inlineStr">
        <is>
          <t>2026-08-25</t>
        </is>
      </c>
      <c r="N499" s="43" t="n">
        <v>329</v>
      </c>
      <c r="O499" s="46" t="n">
        <v>-19.7159</v>
      </c>
      <c r="P499" s="46" t="n">
        <v>-66.54389999999999</v>
      </c>
      <c r="Q499" s="46" t="n">
        <v>49.3361</v>
      </c>
      <c r="R499" s="46" t="n">
        <v>-33.4863</v>
      </c>
      <c r="S499" s="47">
        <f>IF($I499="Yes",$O499,"")</f>
        <v/>
      </c>
    </row>
    <row r="500">
      <c r="A500" s="48" t="inlineStr">
        <is>
          <t>CSX</t>
        </is>
      </c>
      <c r="B500" s="49" t="inlineStr">
        <is>
          <t>CSX Corporation</t>
        </is>
      </c>
      <c r="C500" s="49" t="inlineStr">
        <is>
          <t>US</t>
        </is>
      </c>
      <c r="D500" s="49" t="inlineStr">
        <is>
          <t>S&amp;P 500</t>
        </is>
      </c>
      <c r="E500" s="49" t="inlineStr">
        <is>
          <t>Industrials</t>
        </is>
      </c>
      <c r="F500" s="50" t="n">
        <v>95884099584</v>
      </c>
      <c r="G500" s="49" t="inlineStr">
        <is>
          <t>nightly refresh</t>
        </is>
      </c>
      <c r="H500" s="48" t="n">
        <v>133</v>
      </c>
      <c r="I500" s="49" t="inlineStr">
        <is>
          <t>No</t>
        </is>
      </c>
      <c r="J500" s="49" t="inlineStr">
        <is>
          <t>1980-11-03</t>
        </is>
      </c>
      <c r="K500" s="48" t="n">
        <v>6701</v>
      </c>
      <c r="L500" s="49" t="inlineStr">
        <is>
          <t>2000-01-03</t>
        </is>
      </c>
      <c r="M500" s="49" t="inlineStr">
        <is>
          <t>2026-08-25</t>
        </is>
      </c>
      <c r="N500" s="48" t="n">
        <v>353</v>
      </c>
      <c r="O500" s="51" t="n">
        <v>-17.6628</v>
      </c>
      <c r="P500" s="51" t="n">
        <v>-69.8279</v>
      </c>
      <c r="Q500" s="51" t="n">
        <v>46.0364</v>
      </c>
      <c r="R500" s="51" t="n">
        <v>-3.8993</v>
      </c>
      <c r="S500" s="52">
        <f>IF($I500="Yes",$O500,"")</f>
        <v/>
      </c>
    </row>
    <row r="501">
      <c r="A501" s="43" t="inlineStr">
        <is>
          <t>CTAS</t>
        </is>
      </c>
      <c r="B501" s="44" t="inlineStr">
        <is>
          <t>Cintas Corporation</t>
        </is>
      </c>
      <c r="C501" s="44" t="inlineStr">
        <is>
          <t>US</t>
        </is>
      </c>
      <c r="D501" s="44" t="inlineStr">
        <is>
          <t>S&amp;P 500</t>
        </is>
      </c>
      <c r="E501" s="44" t="inlineStr">
        <is>
          <t>Industrials</t>
        </is>
      </c>
      <c r="F501" s="45" t="n">
        <v>82346893312</v>
      </c>
      <c r="G501" s="44" t="inlineStr">
        <is>
          <t>nightly refresh</t>
        </is>
      </c>
      <c r="H501" s="43" t="n">
        <v>155</v>
      </c>
      <c r="I501" s="44" t="inlineStr">
        <is>
          <t>No</t>
        </is>
      </c>
      <c r="J501" s="44" t="inlineStr">
        <is>
          <t>1983-08-19</t>
        </is>
      </c>
      <c r="K501" s="43" t="n">
        <v>6701</v>
      </c>
      <c r="L501" s="44" t="inlineStr">
        <is>
          <t>2000-01-03</t>
        </is>
      </c>
      <c r="M501" s="44" t="inlineStr">
        <is>
          <t>2026-08-25</t>
        </is>
      </c>
      <c r="N501" s="43" t="n">
        <v>317</v>
      </c>
      <c r="O501" s="46" t="n">
        <v>-16.1958</v>
      </c>
      <c r="P501" s="46" t="n">
        <v>-48.4728</v>
      </c>
      <c r="Q501" s="46" t="n">
        <v>40.6239</v>
      </c>
      <c r="R501" s="46" t="n">
        <v>-6.3321</v>
      </c>
      <c r="S501" s="47">
        <f>IF($I501="Yes",$O501,"")</f>
        <v/>
      </c>
    </row>
    <row r="502">
      <c r="A502" s="48" t="inlineStr">
        <is>
          <t>DAL</t>
        </is>
      </c>
      <c r="B502" s="49" t="inlineStr">
        <is>
          <t>Delta Air Lines, Inc.</t>
        </is>
      </c>
      <c r="C502" s="49" t="inlineStr">
        <is>
          <t>US</t>
        </is>
      </c>
      <c r="D502" s="49" t="inlineStr">
        <is>
          <t>S&amp;P 500</t>
        </is>
      </c>
      <c r="E502" s="49" t="inlineStr">
        <is>
          <t>Industrials</t>
        </is>
      </c>
      <c r="F502" s="50" t="n">
        <v>53359532252.81876</v>
      </c>
      <c r="G502" s="49" t="inlineStr">
        <is>
          <t>re-fetched 28 Aug 2026</t>
        </is>
      </c>
      <c r="H502" s="48" t="n">
        <v>229</v>
      </c>
      <c r="I502" s="49" t="inlineStr">
        <is>
          <t>No</t>
        </is>
      </c>
      <c r="J502" s="49" t="inlineStr">
        <is>
          <t>2007-05-03</t>
        </is>
      </c>
      <c r="K502" s="48" t="n">
        <v>4859</v>
      </c>
      <c r="L502" s="49" t="inlineStr">
        <is>
          <t>2007-05-03</t>
        </is>
      </c>
      <c r="M502" s="49" t="inlineStr">
        <is>
          <t>2026-08-25</t>
        </is>
      </c>
      <c r="N502" s="48" t="n">
        <v>276</v>
      </c>
      <c r="O502" s="51" t="n">
        <v>-26.1434</v>
      </c>
      <c r="P502" s="51" t="n">
        <v>-78.71559999999999</v>
      </c>
      <c r="Q502" s="51" t="n">
        <v>70.0378</v>
      </c>
      <c r="R502" s="51" t="n">
        <v>-12.3887</v>
      </c>
      <c r="S502" s="52">
        <f>IF($I502="Yes",$O502,"")</f>
        <v/>
      </c>
    </row>
    <row r="503">
      <c r="A503" s="43" t="inlineStr">
        <is>
          <t>DE</t>
        </is>
      </c>
      <c r="B503" s="44" t="inlineStr">
        <is>
          <t>Deere &amp; Company</t>
        </is>
      </c>
      <c r="C503" s="44" t="inlineStr">
        <is>
          <t>US</t>
        </is>
      </c>
      <c r="D503" s="44" t="inlineStr">
        <is>
          <t>S&amp;P 500</t>
        </is>
      </c>
      <c r="E503" s="44" t="inlineStr">
        <is>
          <t>Industrials</t>
        </is>
      </c>
      <c r="F503" s="45" t="n">
        <v>171286102016</v>
      </c>
      <c r="G503" s="44" t="inlineStr">
        <is>
          <t>nightly refresh</t>
        </is>
      </c>
      <c r="H503" s="43" t="n">
        <v>76</v>
      </c>
      <c r="I503" s="44" t="inlineStr">
        <is>
          <t>No</t>
        </is>
      </c>
      <c r="J503" s="44" t="inlineStr">
        <is>
          <t>1972-06-01</t>
        </is>
      </c>
      <c r="K503" s="43" t="n">
        <v>6701</v>
      </c>
      <c r="L503" s="44" t="inlineStr">
        <is>
          <t>2000-01-03</t>
        </is>
      </c>
      <c r="M503" s="44" t="inlineStr">
        <is>
          <t>2026-08-25</t>
        </is>
      </c>
      <c r="N503" s="43" t="n">
        <v>346</v>
      </c>
      <c r="O503" s="46" t="n">
        <v>-16.5843</v>
      </c>
      <c r="P503" s="46" t="n">
        <v>-73.4114</v>
      </c>
      <c r="Q503" s="46" t="n">
        <v>46.172</v>
      </c>
      <c r="R503" s="46" t="n">
        <v>-6.183</v>
      </c>
      <c r="S503" s="47">
        <f>IF($I503="Yes",$O503,"")</f>
        <v/>
      </c>
    </row>
    <row r="504">
      <c r="A504" s="48" t="inlineStr">
        <is>
          <t>DOV</t>
        </is>
      </c>
      <c r="B504" s="49" t="inlineStr">
        <is>
          <t>Dover Corporation</t>
        </is>
      </c>
      <c r="C504" s="49" t="inlineStr">
        <is>
          <t>US</t>
        </is>
      </c>
      <c r="D504" s="49" t="inlineStr">
        <is>
          <t>S&amp;P 500</t>
        </is>
      </c>
      <c r="E504" s="49" t="inlineStr">
        <is>
          <t>Industrials</t>
        </is>
      </c>
      <c r="F504" s="50" t="n">
        <v>27563655168</v>
      </c>
      <c r="G504" s="49" t="inlineStr">
        <is>
          <t>nightly refresh</t>
        </is>
      </c>
      <c r="H504" s="48" t="n">
        <v>334</v>
      </c>
      <c r="I504" s="49" t="inlineStr">
        <is>
          <t>No</t>
        </is>
      </c>
      <c r="J504" s="49" t="inlineStr">
        <is>
          <t>1980-03-17</t>
        </is>
      </c>
      <c r="K504" s="48" t="n">
        <v>6701</v>
      </c>
      <c r="L504" s="49" t="inlineStr">
        <is>
          <t>2000-01-03</t>
        </is>
      </c>
      <c r="M504" s="49" t="inlineStr">
        <is>
          <t>2026-08-25</t>
        </is>
      </c>
      <c r="N504" s="48" t="n">
        <v>329</v>
      </c>
      <c r="O504" s="51" t="n">
        <v>-17.8818</v>
      </c>
      <c r="P504" s="51" t="n">
        <v>-58.4399</v>
      </c>
      <c r="Q504" s="51" t="n">
        <v>40.8949</v>
      </c>
      <c r="R504" s="51" t="n">
        <v>-14.5321</v>
      </c>
      <c r="S504" s="52">
        <f>IF($I504="Yes",$O504,"")</f>
        <v/>
      </c>
    </row>
    <row r="505">
      <c r="A505" s="43" t="inlineStr">
        <is>
          <t>EFX</t>
        </is>
      </c>
      <c r="B505" s="44" t="inlineStr">
        <is>
          <t>Equifax Inc.</t>
        </is>
      </c>
      <c r="C505" s="44" t="inlineStr">
        <is>
          <t>US</t>
        </is>
      </c>
      <c r="D505" s="44" t="inlineStr">
        <is>
          <t>S&amp;P 500</t>
        </is>
      </c>
      <c r="E505" s="44" t="inlineStr">
        <is>
          <t>Industrials</t>
        </is>
      </c>
      <c r="F505" s="45" t="n">
        <v>22387920896</v>
      </c>
      <c r="G505" s="44" t="inlineStr">
        <is>
          <t>nightly refresh</t>
        </is>
      </c>
      <c r="H505" s="43" t="n">
        <v>384</v>
      </c>
      <c r="I505" s="44" t="inlineStr">
        <is>
          <t>No</t>
        </is>
      </c>
      <c r="J505" s="44" t="inlineStr">
        <is>
          <t>1980-03-17</t>
        </is>
      </c>
      <c r="K505" s="43" t="n">
        <v>6701</v>
      </c>
      <c r="L505" s="44" t="inlineStr">
        <is>
          <t>2000-01-03</t>
        </is>
      </c>
      <c r="M505" s="44" t="inlineStr">
        <is>
          <t>2026-08-25</t>
        </is>
      </c>
      <c r="N505" s="43" t="n">
        <v>308</v>
      </c>
      <c r="O505" s="46" t="n">
        <v>-18.4308</v>
      </c>
      <c r="P505" s="46" t="n">
        <v>-50.1748</v>
      </c>
      <c r="Q505" s="46" t="n">
        <v>39.8711</v>
      </c>
      <c r="R505" s="46" t="n">
        <v>-28.8096</v>
      </c>
      <c r="S505" s="47">
        <f>IF($I505="Yes",$O505,"")</f>
        <v/>
      </c>
    </row>
    <row r="506">
      <c r="A506" s="48" t="inlineStr">
        <is>
          <t>EME</t>
        </is>
      </c>
      <c r="B506" s="49" t="inlineStr">
        <is>
          <t>EMCOR Group, Inc.</t>
        </is>
      </c>
      <c r="C506" s="49" t="inlineStr">
        <is>
          <t>US</t>
        </is>
      </c>
      <c r="D506" s="49" t="inlineStr">
        <is>
          <t>S&amp;P 500</t>
        </is>
      </c>
      <c r="E506" s="49" t="inlineStr">
        <is>
          <t>Industrials</t>
        </is>
      </c>
      <c r="F506" s="50" t="n">
        <v>33681879040</v>
      </c>
      <c r="G506" s="49" t="inlineStr">
        <is>
          <t>nightly refresh</t>
        </is>
      </c>
      <c r="H506" s="48" t="n">
        <v>303</v>
      </c>
      <c r="I506" s="49" t="inlineStr">
        <is>
          <t>No</t>
        </is>
      </c>
      <c r="J506" s="49" t="inlineStr">
        <is>
          <t>1995-01-10</t>
        </is>
      </c>
      <c r="K506" s="48" t="n">
        <v>6701</v>
      </c>
      <c r="L506" s="49" t="inlineStr">
        <is>
          <t>2000-01-03</t>
        </is>
      </c>
      <c r="M506" s="49" t="inlineStr">
        <is>
          <t>2026-08-25</t>
        </is>
      </c>
      <c r="N506" s="48" t="n">
        <v>343</v>
      </c>
      <c r="O506" s="51" t="n">
        <v>-17.4693</v>
      </c>
      <c r="P506" s="51" t="n">
        <v>-68.7101</v>
      </c>
      <c r="Q506" s="51" t="n">
        <v>58.0626</v>
      </c>
      <c r="R506" s="51" t="n">
        <v>-22.2793</v>
      </c>
      <c r="S506" s="52">
        <f>IF($I506="Yes",$O506,"")</f>
        <v/>
      </c>
    </row>
    <row r="507">
      <c r="A507" s="43" t="inlineStr">
        <is>
          <t>EMR</t>
        </is>
      </c>
      <c r="B507" s="44" t="inlineStr">
        <is>
          <t>Emerson Electric Co.</t>
        </is>
      </c>
      <c r="C507" s="44" t="inlineStr">
        <is>
          <t>US</t>
        </is>
      </c>
      <c r="D507" s="44" t="inlineStr">
        <is>
          <t>S&amp;P 500</t>
        </is>
      </c>
      <c r="E507" s="44" t="inlineStr">
        <is>
          <t>Industrials</t>
        </is>
      </c>
      <c r="F507" s="45" t="n">
        <v>88294154240</v>
      </c>
      <c r="G507" s="44" t="inlineStr">
        <is>
          <t>nightly refresh</t>
        </is>
      </c>
      <c r="H507" s="43" t="n">
        <v>148</v>
      </c>
      <c r="I507" s="44" t="inlineStr">
        <is>
          <t>No</t>
        </is>
      </c>
      <c r="J507" s="44" t="inlineStr">
        <is>
          <t>1972-06-01</t>
        </is>
      </c>
      <c r="K507" s="43" t="n">
        <v>6701</v>
      </c>
      <c r="L507" s="44" t="inlineStr">
        <is>
          <t>2000-01-03</t>
        </is>
      </c>
      <c r="M507" s="44" t="inlineStr">
        <is>
          <t>2026-08-25</t>
        </is>
      </c>
      <c r="N507" s="43" t="n">
        <v>334</v>
      </c>
      <c r="O507" s="46" t="n">
        <v>-16.6094</v>
      </c>
      <c r="P507" s="46" t="n">
        <v>-56.5016</v>
      </c>
      <c r="Q507" s="46" t="n">
        <v>37.3312</v>
      </c>
      <c r="R507" s="46" t="n">
        <v>-6.5311</v>
      </c>
      <c r="S507" s="47">
        <f>IF($I507="Yes",$O507,"")</f>
        <v/>
      </c>
    </row>
    <row r="508">
      <c r="A508" s="48" t="inlineStr">
        <is>
          <t>ETN</t>
        </is>
      </c>
      <c r="B508" s="49" t="inlineStr">
        <is>
          <t>Eaton Corporation plc</t>
        </is>
      </c>
      <c r="C508" s="49" t="inlineStr">
        <is>
          <t>US</t>
        </is>
      </c>
      <c r="D508" s="49" t="inlineStr">
        <is>
          <t>S&amp;P 500</t>
        </is>
      </c>
      <c r="E508" s="49" t="inlineStr">
        <is>
          <t>Industrials</t>
        </is>
      </c>
      <c r="F508" s="50" t="n">
        <v>162910502912</v>
      </c>
      <c r="G508" s="49" t="inlineStr">
        <is>
          <t>nightly refresh</t>
        </is>
      </c>
      <c r="H508" s="48" t="n">
        <v>81</v>
      </c>
      <c r="I508" s="49" t="inlineStr">
        <is>
          <t>No</t>
        </is>
      </c>
      <c r="J508" s="49" t="inlineStr">
        <is>
          <t>1972-06-01</t>
        </is>
      </c>
      <c r="K508" s="48" t="n">
        <v>6701</v>
      </c>
      <c r="L508" s="49" t="inlineStr">
        <is>
          <t>2000-01-03</t>
        </is>
      </c>
      <c r="M508" s="49" t="inlineStr">
        <is>
          <t>2026-08-25</t>
        </is>
      </c>
      <c r="N508" s="48" t="n">
        <v>333</v>
      </c>
      <c r="O508" s="51" t="n">
        <v>-16.5582</v>
      </c>
      <c r="P508" s="51" t="n">
        <v>-68.2223</v>
      </c>
      <c r="Q508" s="51" t="n">
        <v>48.2278</v>
      </c>
      <c r="R508" s="51" t="n">
        <v>-14.3933</v>
      </c>
      <c r="S508" s="52">
        <f>IF($I508="Yes",$O508,"")</f>
        <v/>
      </c>
    </row>
    <row r="509">
      <c r="A509" s="43" t="inlineStr">
        <is>
          <t>EXPD</t>
        </is>
      </c>
      <c r="B509" s="44" t="inlineStr">
        <is>
          <t>Expeditors International of Washington, Inc.</t>
        </is>
      </c>
      <c r="C509" s="44" t="inlineStr">
        <is>
          <t>US</t>
        </is>
      </c>
      <c r="D509" s="44" t="inlineStr">
        <is>
          <t>S&amp;P 500</t>
        </is>
      </c>
      <c r="E509" s="44" t="inlineStr">
        <is>
          <t>Industrials</t>
        </is>
      </c>
      <c r="F509" s="45" t="n">
        <v>24721616896</v>
      </c>
      <c r="G509" s="44" t="inlineStr">
        <is>
          <t>nightly refresh</t>
        </is>
      </c>
      <c r="H509" s="43" t="n">
        <v>364</v>
      </c>
      <c r="I509" s="44" t="inlineStr">
        <is>
          <t>No</t>
        </is>
      </c>
      <c r="J509" s="44" t="inlineStr">
        <is>
          <t>1984-09-26</t>
        </is>
      </c>
      <c r="K509" s="43" t="n">
        <v>6701</v>
      </c>
      <c r="L509" s="44" t="inlineStr">
        <is>
          <t>2000-01-03</t>
        </is>
      </c>
      <c r="M509" s="44" t="inlineStr">
        <is>
          <t>2026-08-25</t>
        </is>
      </c>
      <c r="N509" s="43" t="n">
        <v>380</v>
      </c>
      <c r="O509" s="46" t="n">
        <v>-16.0612</v>
      </c>
      <c r="P509" s="46" t="n">
        <v>-51.4741</v>
      </c>
      <c r="Q509" s="46" t="n">
        <v>36.2001</v>
      </c>
      <c r="R509" s="46" t="n">
        <v>-0.4948</v>
      </c>
      <c r="S509" s="47">
        <f>IF($I509="Yes",$O509,"")</f>
        <v/>
      </c>
    </row>
    <row r="510">
      <c r="A510" s="48" t="inlineStr">
        <is>
          <t>FAST</t>
        </is>
      </c>
      <c r="B510" s="49" t="inlineStr">
        <is>
          <t>Fastenal Company</t>
        </is>
      </c>
      <c r="C510" s="49" t="inlineStr">
        <is>
          <t>US</t>
        </is>
      </c>
      <c r="D510" s="49" t="inlineStr">
        <is>
          <t>S&amp;P 500</t>
        </is>
      </c>
      <c r="E510" s="49" t="inlineStr">
        <is>
          <t>Industrials</t>
        </is>
      </c>
      <c r="F510" s="50" t="n">
        <v>58694504448</v>
      </c>
      <c r="G510" s="49" t="inlineStr">
        <is>
          <t>nightly refresh</t>
        </is>
      </c>
      <c r="H510" s="48" t="n">
        <v>210</v>
      </c>
      <c r="I510" s="49" t="inlineStr">
        <is>
          <t>No</t>
        </is>
      </c>
      <c r="J510" s="49" t="inlineStr">
        <is>
          <t>1987-08-20</t>
        </is>
      </c>
      <c r="K510" s="48" t="n">
        <v>6701</v>
      </c>
      <c r="L510" s="49" t="inlineStr">
        <is>
          <t>2000-01-03</t>
        </is>
      </c>
      <c r="M510" s="49" t="inlineStr">
        <is>
          <t>2026-08-25</t>
        </is>
      </c>
      <c r="N510" s="48" t="n">
        <v>344</v>
      </c>
      <c r="O510" s="51" t="n">
        <v>-16.7126</v>
      </c>
      <c r="P510" s="51" t="n">
        <v>-52.8503</v>
      </c>
      <c r="Q510" s="51" t="n">
        <v>42.1675</v>
      </c>
      <c r="R510" s="51" t="n">
        <v>-4.932</v>
      </c>
      <c r="S510" s="52">
        <f>IF($I510="Yes",$O510,"")</f>
        <v/>
      </c>
    </row>
    <row r="511">
      <c r="A511" s="43" t="inlineStr">
        <is>
          <t>FDX</t>
        </is>
      </c>
      <c r="B511" s="44" t="inlineStr">
        <is>
          <t>FedEx Corporation</t>
        </is>
      </c>
      <c r="C511" s="44" t="inlineStr">
        <is>
          <t>US</t>
        </is>
      </c>
      <c r="D511" s="44" t="inlineStr">
        <is>
          <t>S&amp;P 500</t>
        </is>
      </c>
      <c r="E511" s="44" t="inlineStr">
        <is>
          <t>Industrials</t>
        </is>
      </c>
      <c r="F511" s="45" t="n">
        <v>79518900224</v>
      </c>
      <c r="G511" s="44" t="inlineStr">
        <is>
          <t>nightly refresh</t>
        </is>
      </c>
      <c r="H511" s="43" t="n">
        <v>165</v>
      </c>
      <c r="I511" s="44" t="inlineStr">
        <is>
          <t>No</t>
        </is>
      </c>
      <c r="J511" s="44" t="inlineStr">
        <is>
          <t>1978-04-12</t>
        </is>
      </c>
      <c r="K511" s="43" t="n">
        <v>6701</v>
      </c>
      <c r="L511" s="44" t="inlineStr">
        <is>
          <t>2000-01-03</t>
        </is>
      </c>
      <c r="M511" s="44" t="inlineStr">
        <is>
          <t>2026-08-25</t>
        </is>
      </c>
      <c r="N511" s="43" t="n">
        <v>367</v>
      </c>
      <c r="O511" s="46" t="n">
        <v>-18.4131</v>
      </c>
      <c r="P511" s="46" t="n">
        <v>-65.279</v>
      </c>
      <c r="Q511" s="46" t="n">
        <v>44.7572</v>
      </c>
      <c r="R511" s="46" t="n">
        <v>-3.0134</v>
      </c>
      <c r="S511" s="47">
        <f>IF($I511="Yes",$O511,"")</f>
        <v/>
      </c>
    </row>
    <row r="512">
      <c r="A512" s="48" t="inlineStr">
        <is>
          <t>FERG</t>
        </is>
      </c>
      <c r="B512" s="49" t="inlineStr">
        <is>
          <t>Ferguson Enterprises Inc.</t>
        </is>
      </c>
      <c r="C512" s="49" t="inlineStr">
        <is>
          <t>US</t>
        </is>
      </c>
      <c r="D512" s="49" t="inlineStr">
        <is>
          <t>S&amp;P 500</t>
        </is>
      </c>
      <c r="E512" s="49" t="inlineStr">
        <is>
          <t>Industrials</t>
        </is>
      </c>
      <c r="F512" s="50" t="n">
        <v>45602607104</v>
      </c>
      <c r="G512" s="49" t="inlineStr">
        <is>
          <t>nightly refresh</t>
        </is>
      </c>
      <c r="H512" s="48" t="n">
        <v>255</v>
      </c>
      <c r="I512" s="49" t="inlineStr">
        <is>
          <t>No</t>
        </is>
      </c>
      <c r="J512" s="49" t="inlineStr">
        <is>
          <t>2010-01-05</t>
        </is>
      </c>
      <c r="K512" s="48" t="n">
        <v>4185</v>
      </c>
      <c r="L512" s="49" t="inlineStr">
        <is>
          <t>2010-01-05</t>
        </is>
      </c>
      <c r="M512" s="49" t="inlineStr">
        <is>
          <t>2026-08-25</t>
        </is>
      </c>
      <c r="N512" s="48" t="n">
        <v>87</v>
      </c>
      <c r="O512" s="51" t="n">
        <v>-18.7632</v>
      </c>
      <c r="P512" s="51" t="n">
        <v>-44.0482</v>
      </c>
      <c r="Q512" s="51" t="n">
        <v>50.221</v>
      </c>
      <c r="R512" s="51" t="n">
        <v>-13.6961</v>
      </c>
      <c r="S512" s="52">
        <f>IF($I512="Yes",$O512,"")</f>
        <v/>
      </c>
    </row>
    <row r="513">
      <c r="A513" s="43" t="inlineStr">
        <is>
          <t>FIX</t>
        </is>
      </c>
      <c r="B513" s="44" t="inlineStr">
        <is>
          <t>Comfort Systems USA, Inc.</t>
        </is>
      </c>
      <c r="C513" s="44" t="inlineStr">
        <is>
          <t>US</t>
        </is>
      </c>
      <c r="D513" s="44" t="inlineStr">
        <is>
          <t>S&amp;P 500</t>
        </is>
      </c>
      <c r="E513" s="44" t="inlineStr">
        <is>
          <t>Industrials</t>
        </is>
      </c>
      <c r="F513" s="45" t="n">
        <v>56863121408</v>
      </c>
      <c r="G513" s="44" t="inlineStr">
        <is>
          <t>nightly refresh</t>
        </is>
      </c>
      <c r="H513" s="43" t="n">
        <v>216</v>
      </c>
      <c r="I513" s="44" t="inlineStr">
        <is>
          <t>No</t>
        </is>
      </c>
      <c r="J513" s="44" t="inlineStr">
        <is>
          <t>1997-06-27</t>
        </is>
      </c>
      <c r="K513" s="43" t="n">
        <v>6701</v>
      </c>
      <c r="L513" s="44" t="inlineStr">
        <is>
          <t>2000-01-03</t>
        </is>
      </c>
      <c r="M513" s="44" t="inlineStr">
        <is>
          <t>2026-08-25</t>
        </is>
      </c>
      <c r="N513" s="43" t="n">
        <v>371</v>
      </c>
      <c r="O513" s="46" t="n">
        <v>-21.4424</v>
      </c>
      <c r="P513" s="46" t="n">
        <v>-78</v>
      </c>
      <c r="Q513" s="46" t="n">
        <v>79.497</v>
      </c>
      <c r="R513" s="46" t="n">
        <v>-24.6586</v>
      </c>
      <c r="S513" s="47">
        <f>IF($I513="Yes",$O513,"")</f>
        <v/>
      </c>
    </row>
    <row r="514">
      <c r="A514" s="48" t="inlineStr">
        <is>
          <t>GD</t>
        </is>
      </c>
      <c r="B514" s="49" t="inlineStr">
        <is>
          <t>General Dynamics Corporation</t>
        </is>
      </c>
      <c r="C514" s="49" t="inlineStr">
        <is>
          <t>US</t>
        </is>
      </c>
      <c r="D514" s="49" t="inlineStr">
        <is>
          <t>S&amp;P 500</t>
        </is>
      </c>
      <c r="E514" s="49" t="inlineStr">
        <is>
          <t>Industrials</t>
        </is>
      </c>
      <c r="F514" s="50" t="n">
        <v>103358251008</v>
      </c>
      <c r="G514" s="49" t="inlineStr">
        <is>
          <t>nightly refresh</t>
        </is>
      </c>
      <c r="H514" s="48" t="n">
        <v>118</v>
      </c>
      <c r="I514" s="49" t="inlineStr">
        <is>
          <t>No</t>
        </is>
      </c>
      <c r="J514" s="49" t="inlineStr">
        <is>
          <t>1962-01-02</t>
        </is>
      </c>
      <c r="K514" s="48" t="n">
        <v>6701</v>
      </c>
      <c r="L514" s="49" t="inlineStr">
        <is>
          <t>2000-01-03</t>
        </is>
      </c>
      <c r="M514" s="49" t="inlineStr">
        <is>
          <t>2026-08-25</t>
        </is>
      </c>
      <c r="N514" s="48" t="n">
        <v>302</v>
      </c>
      <c r="O514" s="51" t="n">
        <v>-15.3079</v>
      </c>
      <c r="P514" s="51" t="n">
        <v>-61.2182</v>
      </c>
      <c r="Q514" s="51" t="n">
        <v>38.9565</v>
      </c>
      <c r="R514" s="51" t="n">
        <v>-5.855</v>
      </c>
      <c r="S514" s="52">
        <f>IF($I514="Yes",$O514,"")</f>
        <v/>
      </c>
    </row>
    <row r="515">
      <c r="A515" s="43" t="inlineStr">
        <is>
          <t>GE</t>
        </is>
      </c>
      <c r="B515" s="44" t="inlineStr">
        <is>
          <t>GE Aerospace</t>
        </is>
      </c>
      <c r="C515" s="44" t="inlineStr">
        <is>
          <t>US</t>
        </is>
      </c>
      <c r="D515" s="44" t="inlineStr">
        <is>
          <t>S&amp;P 500</t>
        </is>
      </c>
      <c r="E515" s="44" t="inlineStr">
        <is>
          <t>Industrials</t>
        </is>
      </c>
      <c r="F515" s="45" t="n">
        <v>367701786624</v>
      </c>
      <c r="G515" s="44" t="inlineStr">
        <is>
          <t>nightly refresh</t>
        </is>
      </c>
      <c r="H515" s="43" t="n">
        <v>33</v>
      </c>
      <c r="I515" s="44" t="inlineStr">
        <is>
          <t>Yes</t>
        </is>
      </c>
      <c r="J515" s="44" t="inlineStr">
        <is>
          <t>1962-01-02</t>
        </is>
      </c>
      <c r="K515" s="43" t="n">
        <v>6701</v>
      </c>
      <c r="L515" s="44" t="inlineStr">
        <is>
          <t>2000-01-03</t>
        </is>
      </c>
      <c r="M515" s="44" t="inlineStr">
        <is>
          <t>2026-08-25</t>
        </is>
      </c>
      <c r="N515" s="43" t="n">
        <v>342</v>
      </c>
      <c r="O515" s="46" t="n">
        <v>-22.3708</v>
      </c>
      <c r="P515" s="46" t="n">
        <v>-81.4121</v>
      </c>
      <c r="Q515" s="46" t="n">
        <v>47.9411</v>
      </c>
      <c r="R515" s="46" t="n">
        <v>-10.107</v>
      </c>
      <c r="S515" s="47">
        <f>IF($I515="Yes",$O515,"")</f>
        <v/>
      </c>
    </row>
    <row r="516">
      <c r="A516" s="48" t="inlineStr">
        <is>
          <t>GEV</t>
        </is>
      </c>
      <c r="B516" s="49" t="inlineStr">
        <is>
          <t>GE Vernova Inc.</t>
        </is>
      </c>
      <c r="C516" s="49" t="inlineStr">
        <is>
          <t>US</t>
        </is>
      </c>
      <c r="D516" s="49" t="inlineStr">
        <is>
          <t>S&amp;P 500</t>
        </is>
      </c>
      <c r="E516" s="49" t="inlineStr">
        <is>
          <t>Industrials</t>
        </is>
      </c>
      <c r="F516" s="50" t="n">
        <v>253839884288</v>
      </c>
      <c r="G516" s="49" t="inlineStr">
        <is>
          <t>nightly refresh</t>
        </is>
      </c>
      <c r="H516" s="48" t="n">
        <v>46</v>
      </c>
      <c r="I516" s="49" t="inlineStr">
        <is>
          <t>Yes</t>
        </is>
      </c>
      <c r="J516" s="49" t="inlineStr">
        <is>
          <t>2024-03-27</t>
        </is>
      </c>
      <c r="K516" s="48" t="n">
        <v>605</v>
      </c>
      <c r="L516" s="49" t="inlineStr">
        <is>
          <t>2024-03-27</t>
        </is>
      </c>
      <c r="M516" s="49" t="inlineStr">
        <is>
          <t>2026-08-25</t>
        </is>
      </c>
      <c r="N516" s="48" t="n">
        <v>36</v>
      </c>
      <c r="O516" s="51" t="n">
        <v>-14.9343</v>
      </c>
      <c r="P516" s="51" t="n">
        <v>-39.6357</v>
      </c>
      <c r="Q516" s="51" t="n">
        <v>165.7742</v>
      </c>
      <c r="R516" s="51" t="n">
        <v>-22.5103</v>
      </c>
      <c r="S516" s="52">
        <f>IF($I516="Yes",$O516,"")</f>
        <v/>
      </c>
    </row>
    <row r="517">
      <c r="A517" s="43" t="inlineStr">
        <is>
          <t>GNRC</t>
        </is>
      </c>
      <c r="B517" s="44" t="inlineStr">
        <is>
          <t>Generac Holdings Inc.</t>
        </is>
      </c>
      <c r="C517" s="44" t="inlineStr">
        <is>
          <t>US</t>
        </is>
      </c>
      <c r="D517" s="44" t="inlineStr">
        <is>
          <t>S&amp;P 500</t>
        </is>
      </c>
      <c r="E517" s="44" t="inlineStr">
        <is>
          <t>Industrials</t>
        </is>
      </c>
      <c r="F517" s="45" t="n">
        <v>12191893504</v>
      </c>
      <c r="G517" s="44" t="inlineStr">
        <is>
          <t>nightly refresh</t>
        </is>
      </c>
      <c r="H517" s="43" t="n">
        <v>471</v>
      </c>
      <c r="I517" s="44" t="inlineStr">
        <is>
          <t>No</t>
        </is>
      </c>
      <c r="J517" s="44" t="inlineStr">
        <is>
          <t>2010-02-11</t>
        </is>
      </c>
      <c r="K517" s="43" t="n">
        <v>4159</v>
      </c>
      <c r="L517" s="44" t="inlineStr">
        <is>
          <t>2010-02-11</t>
        </is>
      </c>
      <c r="M517" s="44" t="inlineStr">
        <is>
          <t>2026-08-25</t>
        </is>
      </c>
      <c r="N517" s="43" t="n">
        <v>234</v>
      </c>
      <c r="O517" s="46" t="n">
        <v>-24.2654</v>
      </c>
      <c r="P517" s="46" t="n">
        <v>-79.11920000000001</v>
      </c>
      <c r="Q517" s="46" t="n">
        <v>76.1737</v>
      </c>
      <c r="R517" s="46" t="n">
        <v>-31.9323</v>
      </c>
      <c r="S517" s="47">
        <f>IF($I517="Yes",$O517,"")</f>
        <v/>
      </c>
    </row>
    <row r="518">
      <c r="A518" s="48" t="inlineStr">
        <is>
          <t>GPN</t>
        </is>
      </c>
      <c r="B518" s="49" t="inlineStr">
        <is>
          <t>Global Payments Inc.</t>
        </is>
      </c>
      <c r="C518" s="49" t="inlineStr">
        <is>
          <t>US</t>
        </is>
      </c>
      <c r="D518" s="49" t="inlineStr">
        <is>
          <t>S&amp;P 500</t>
        </is>
      </c>
      <c r="E518" s="49" t="inlineStr">
        <is>
          <t>Industrials</t>
        </is>
      </c>
      <c r="F518" s="50" t="n">
        <v>24598925312</v>
      </c>
      <c r="G518" s="49" t="inlineStr">
        <is>
          <t>nightly refresh</t>
        </is>
      </c>
      <c r="H518" s="48" t="n">
        <v>366</v>
      </c>
      <c r="I518" s="49" t="inlineStr">
        <is>
          <t>No</t>
        </is>
      </c>
      <c r="J518" s="49" t="inlineStr">
        <is>
          <t>2001-01-16</t>
        </is>
      </c>
      <c r="K518" s="48" t="n">
        <v>6440</v>
      </c>
      <c r="L518" s="49" t="inlineStr">
        <is>
          <t>2001-01-16</t>
        </is>
      </c>
      <c r="M518" s="49" t="inlineStr">
        <is>
          <t>2026-08-25</t>
        </is>
      </c>
      <c r="N518" s="48" t="n">
        <v>343</v>
      </c>
      <c r="O518" s="51" t="n">
        <v>-20.3536</v>
      </c>
      <c r="P518" s="51" t="n">
        <v>-46.6261</v>
      </c>
      <c r="Q518" s="51" t="n">
        <v>46.5609</v>
      </c>
      <c r="R518" s="51" t="n">
        <v>-2.1485</v>
      </c>
      <c r="S518" s="52">
        <f>IF($I518="Yes",$O518,"")</f>
        <v/>
      </c>
    </row>
    <row r="519">
      <c r="A519" s="43" t="inlineStr">
        <is>
          <t>GWW</t>
        </is>
      </c>
      <c r="B519" s="44" t="inlineStr">
        <is>
          <t>W.W. Grainger, Inc.</t>
        </is>
      </c>
      <c r="C519" s="44" t="inlineStr">
        <is>
          <t>US</t>
        </is>
      </c>
      <c r="D519" s="44" t="inlineStr">
        <is>
          <t>S&amp;P 500</t>
        </is>
      </c>
      <c r="E519" s="44" t="inlineStr">
        <is>
          <t>Industrials</t>
        </is>
      </c>
      <c r="F519" s="45" t="n">
        <v>62898130944</v>
      </c>
      <c r="G519" s="44" t="inlineStr">
        <is>
          <t>nightly refresh</t>
        </is>
      </c>
      <c r="H519" s="43" t="n">
        <v>198</v>
      </c>
      <c r="I519" s="44" t="inlineStr">
        <is>
          <t>No</t>
        </is>
      </c>
      <c r="J519" s="44" t="inlineStr">
        <is>
          <t>1973-02-21</t>
        </is>
      </c>
      <c r="K519" s="43" t="n">
        <v>6701</v>
      </c>
      <c r="L519" s="44" t="inlineStr">
        <is>
          <t>2000-01-03</t>
        </is>
      </c>
      <c r="M519" s="44" t="inlineStr">
        <is>
          <t>2026-08-25</t>
        </is>
      </c>
      <c r="N519" s="43" t="n">
        <v>338</v>
      </c>
      <c r="O519" s="46" t="n">
        <v>-15.5345</v>
      </c>
      <c r="P519" s="46" t="n">
        <v>-56.3137</v>
      </c>
      <c r="Q519" s="46" t="n">
        <v>40.5378</v>
      </c>
      <c r="R519" s="46" t="n">
        <v>-8.147600000000001</v>
      </c>
      <c r="S519" s="47">
        <f>IF($I519="Yes",$O519,"")</f>
        <v/>
      </c>
    </row>
    <row r="520">
      <c r="A520" s="48" t="inlineStr">
        <is>
          <t>HII</t>
        </is>
      </c>
      <c r="B520" s="49" t="inlineStr">
        <is>
          <t>Huntington Ingalls Industries, Inc.</t>
        </is>
      </c>
      <c r="C520" s="49" t="inlineStr">
        <is>
          <t>US</t>
        </is>
      </c>
      <c r="D520" s="49" t="inlineStr">
        <is>
          <t>S&amp;P 500</t>
        </is>
      </c>
      <c r="E520" s="49" t="inlineStr">
        <is>
          <t>Industrials</t>
        </is>
      </c>
      <c r="F520" s="50" t="n">
        <v>11679522816</v>
      </c>
      <c r="G520" s="49" t="inlineStr">
        <is>
          <t>nightly refresh</t>
        </is>
      </c>
      <c r="H520" s="48" t="n">
        <v>478</v>
      </c>
      <c r="I520" s="49" t="inlineStr">
        <is>
          <t>No</t>
        </is>
      </c>
      <c r="J520" s="49" t="inlineStr">
        <is>
          <t>2011-03-22</t>
        </is>
      </c>
      <c r="K520" s="48" t="n">
        <v>3880</v>
      </c>
      <c r="L520" s="49" t="inlineStr">
        <is>
          <t>2011-03-22</t>
        </is>
      </c>
      <c r="M520" s="49" t="inlineStr">
        <is>
          <t>2026-08-25</t>
        </is>
      </c>
      <c r="N520" s="48" t="n">
        <v>196</v>
      </c>
      <c r="O520" s="51" t="n">
        <v>-18.4931</v>
      </c>
      <c r="P520" s="51" t="n">
        <v>-49.9078</v>
      </c>
      <c r="Q520" s="51" t="n">
        <v>48.0656</v>
      </c>
      <c r="R520" s="51" t="n">
        <v>-36.4332</v>
      </c>
      <c r="S520" s="52">
        <f>IF($I520="Yes",$O520,"")</f>
        <v/>
      </c>
    </row>
    <row r="521">
      <c r="A521" s="43" t="inlineStr">
        <is>
          <t>HON</t>
        </is>
      </c>
      <c r="B521" s="44" t="inlineStr">
        <is>
          <t>Honeywell International Inc.</t>
        </is>
      </c>
      <c r="C521" s="44" t="inlineStr">
        <is>
          <t>US</t>
        </is>
      </c>
      <c r="D521" s="44" t="inlineStr">
        <is>
          <t>S&amp;P 500</t>
        </is>
      </c>
      <c r="E521" s="44" t="inlineStr">
        <is>
          <t>Industrials</t>
        </is>
      </c>
      <c r="F521" s="45" t="n">
        <v>69939150848</v>
      </c>
      <c r="G521" s="44" t="inlineStr">
        <is>
          <t>nightly refresh</t>
        </is>
      </c>
      <c r="H521" s="43" t="n">
        <v>185</v>
      </c>
      <c r="I521" s="44" t="inlineStr">
        <is>
          <t>No</t>
        </is>
      </c>
      <c r="J521" s="44" t="inlineStr">
        <is>
          <t>1962-01-02</t>
        </is>
      </c>
      <c r="K521" s="43" t="n">
        <v>6701</v>
      </c>
      <c r="L521" s="44" t="inlineStr">
        <is>
          <t>2000-01-03</t>
        </is>
      </c>
      <c r="M521" s="44" t="inlineStr">
        <is>
          <t>2026-08-25</t>
        </is>
      </c>
      <c r="N521" s="43" t="n">
        <v>281</v>
      </c>
      <c r="O521" s="46" t="n">
        <v>-17.7661</v>
      </c>
      <c r="P521" s="46" t="n">
        <v>-62.1146</v>
      </c>
      <c r="Q521" s="46" t="n">
        <v>38.1446</v>
      </c>
      <c r="R521" s="46" t="n">
        <v>-14.4127</v>
      </c>
      <c r="S521" s="47">
        <f>IF($I521="Yes",$O521,"")</f>
        <v/>
      </c>
    </row>
    <row r="522">
      <c r="A522" s="48" t="inlineStr">
        <is>
          <t>HUBB</t>
        </is>
      </c>
      <c r="B522" s="49" t="inlineStr">
        <is>
          <t>Hubbell Incorporated</t>
        </is>
      </c>
      <c r="C522" s="49" t="inlineStr">
        <is>
          <t>US</t>
        </is>
      </c>
      <c r="D522" s="49" t="inlineStr">
        <is>
          <t>S&amp;P 500</t>
        </is>
      </c>
      <c r="E522" s="49" t="inlineStr">
        <is>
          <t>Industrials</t>
        </is>
      </c>
      <c r="F522" s="50" t="n">
        <v>24961275904</v>
      </c>
      <c r="G522" s="49" t="inlineStr">
        <is>
          <t>nightly refresh</t>
        </is>
      </c>
      <c r="H522" s="48" t="n">
        <v>360</v>
      </c>
      <c r="I522" s="49" t="inlineStr">
        <is>
          <t>No</t>
        </is>
      </c>
      <c r="J522" s="49" t="inlineStr">
        <is>
          <t>1972-06-05</t>
        </is>
      </c>
      <c r="K522" s="48" t="n">
        <v>6701</v>
      </c>
      <c r="L522" s="49" t="inlineStr">
        <is>
          <t>2000-01-03</t>
        </is>
      </c>
      <c r="M522" s="49" t="inlineStr">
        <is>
          <t>2026-08-25</t>
        </is>
      </c>
      <c r="N522" s="48" t="n">
        <v>337</v>
      </c>
      <c r="O522" s="51" t="n">
        <v>-14.7352</v>
      </c>
      <c r="P522" s="51" t="n">
        <v>-54.2779</v>
      </c>
      <c r="Q522" s="51" t="n">
        <v>42.5718</v>
      </c>
      <c r="R522" s="51" t="n">
        <v>-17.6684</v>
      </c>
      <c r="S522" s="52">
        <f>IF($I522="Yes",$O522,"")</f>
        <v/>
      </c>
    </row>
    <row r="523">
      <c r="A523" s="43" t="inlineStr">
        <is>
          <t>HWM</t>
        </is>
      </c>
      <c r="B523" s="44" t="inlineStr">
        <is>
          <t>Howmet Aerospace Inc.</t>
        </is>
      </c>
      <c r="C523" s="44" t="inlineStr">
        <is>
          <t>US</t>
        </is>
      </c>
      <c r="D523" s="44" t="inlineStr">
        <is>
          <t>S&amp;P 500</t>
        </is>
      </c>
      <c r="E523" s="44" t="inlineStr">
        <is>
          <t>Industrials</t>
        </is>
      </c>
      <c r="F523" s="45" t="n">
        <v>107413168128</v>
      </c>
      <c r="G523" s="44" t="inlineStr">
        <is>
          <t>nightly refresh</t>
        </is>
      </c>
      <c r="H523" s="43" t="n">
        <v>114</v>
      </c>
      <c r="I523" s="44" t="inlineStr">
        <is>
          <t>No</t>
        </is>
      </c>
      <c r="J523" s="44" t="inlineStr">
        <is>
          <t>2016-11-01</t>
        </is>
      </c>
      <c r="K523" s="43" t="n">
        <v>2466</v>
      </c>
      <c r="L523" s="44" t="inlineStr">
        <is>
          <t>2016-11-01</t>
        </is>
      </c>
      <c r="M523" s="44" t="inlineStr">
        <is>
          <t>2026-08-25</t>
        </is>
      </c>
      <c r="N523" s="43" t="n">
        <v>124</v>
      </c>
      <c r="O523" s="46" t="n">
        <v>-18.157</v>
      </c>
      <c r="P523" s="46" t="n">
        <v>-65.01309999999999</v>
      </c>
      <c r="Q523" s="46" t="n">
        <v>77.6788</v>
      </c>
      <c r="R523" s="46" t="n">
        <v>-14.7846</v>
      </c>
      <c r="S523" s="47">
        <f>IF($I523="Yes",$O523,"")</f>
        <v/>
      </c>
    </row>
    <row r="524">
      <c r="A524" s="48" t="inlineStr">
        <is>
          <t>IEX</t>
        </is>
      </c>
      <c r="B524" s="49" t="inlineStr">
        <is>
          <t>IDEX Corporation</t>
        </is>
      </c>
      <c r="C524" s="49" t="inlineStr">
        <is>
          <t>US</t>
        </is>
      </c>
      <c r="D524" s="49" t="inlineStr">
        <is>
          <t>S&amp;P 500</t>
        </is>
      </c>
      <c r="E524" s="49" t="inlineStr">
        <is>
          <t>Industrials</t>
        </is>
      </c>
      <c r="F524" s="50" t="n">
        <v>17316067328</v>
      </c>
      <c r="G524" s="49" t="inlineStr">
        <is>
          <t>nightly refresh</t>
        </is>
      </c>
      <c r="H524" s="48" t="n">
        <v>427</v>
      </c>
      <c r="I524" s="49" t="inlineStr">
        <is>
          <t>No</t>
        </is>
      </c>
      <c r="J524" s="49" t="inlineStr">
        <is>
          <t>1989-06-02</t>
        </is>
      </c>
      <c r="K524" s="48" t="n">
        <v>6701</v>
      </c>
      <c r="L524" s="49" t="inlineStr">
        <is>
          <t>2000-01-03</t>
        </is>
      </c>
      <c r="M524" s="49" t="inlineStr">
        <is>
          <t>2026-08-25</t>
        </is>
      </c>
      <c r="N524" s="48" t="n">
        <v>317</v>
      </c>
      <c r="O524" s="51" t="n">
        <v>-16.0537</v>
      </c>
      <c r="P524" s="51" t="n">
        <v>-58.3466</v>
      </c>
      <c r="Q524" s="51" t="n">
        <v>39.1006</v>
      </c>
      <c r="R524" s="51" t="n">
        <v>-5.5496</v>
      </c>
      <c r="S524" s="52">
        <f>IF($I524="Yes",$O524,"")</f>
        <v/>
      </c>
    </row>
    <row r="525">
      <c r="A525" s="43" t="inlineStr">
        <is>
          <t>IR</t>
        </is>
      </c>
      <c r="B525" s="44" t="inlineStr">
        <is>
          <t>Ingersoll Rand Inc.</t>
        </is>
      </c>
      <c r="C525" s="44" t="inlineStr">
        <is>
          <t>US</t>
        </is>
      </c>
      <c r="D525" s="44" t="inlineStr">
        <is>
          <t>S&amp;P 500</t>
        </is>
      </c>
      <c r="E525" s="44" t="inlineStr">
        <is>
          <t>Industrials</t>
        </is>
      </c>
      <c r="F525" s="45" t="n">
        <v>31028314112</v>
      </c>
      <c r="G525" s="44" t="inlineStr">
        <is>
          <t>nightly refresh</t>
        </is>
      </c>
      <c r="H525" s="43" t="n">
        <v>314</v>
      </c>
      <c r="I525" s="44" t="inlineStr">
        <is>
          <t>No</t>
        </is>
      </c>
      <c r="J525" s="44" t="inlineStr">
        <is>
          <t>2017-05-12</t>
        </is>
      </c>
      <c r="K525" s="43" t="n">
        <v>2334</v>
      </c>
      <c r="L525" s="44" t="inlineStr">
        <is>
          <t>2017-05-12</t>
        </is>
      </c>
      <c r="M525" s="44" t="inlineStr">
        <is>
          <t>2026-08-25</t>
        </is>
      </c>
      <c r="N525" s="43" t="n">
        <v>129</v>
      </c>
      <c r="O525" s="46" t="n">
        <v>-19.0218</v>
      </c>
      <c r="P525" s="46" t="n">
        <v>-50.6674</v>
      </c>
      <c r="Q525" s="46" t="n">
        <v>60.3821</v>
      </c>
      <c r="R525" s="46" t="n">
        <v>-22.1383</v>
      </c>
      <c r="S525" s="47">
        <f>IF($I525="Yes",$O525,"")</f>
        <v/>
      </c>
    </row>
    <row r="526">
      <c r="A526" s="48" t="inlineStr">
        <is>
          <t>ITW</t>
        </is>
      </c>
      <c r="B526" s="49" t="inlineStr">
        <is>
          <t>Illinois Tool Works Inc.</t>
        </is>
      </c>
      <c r="C526" s="49" t="inlineStr">
        <is>
          <t>US</t>
        </is>
      </c>
      <c r="D526" s="49" t="inlineStr">
        <is>
          <t>S&amp;P 500</t>
        </is>
      </c>
      <c r="E526" s="49" t="inlineStr">
        <is>
          <t>Industrials</t>
        </is>
      </c>
      <c r="F526" s="50" t="n">
        <v>81313251328</v>
      </c>
      <c r="G526" s="49" t="inlineStr">
        <is>
          <t>nightly refresh</t>
        </is>
      </c>
      <c r="H526" s="48" t="n">
        <v>160</v>
      </c>
      <c r="I526" s="49" t="inlineStr">
        <is>
          <t>No</t>
        </is>
      </c>
      <c r="J526" s="49" t="inlineStr">
        <is>
          <t>1973-03-13</t>
        </is>
      </c>
      <c r="K526" s="48" t="n">
        <v>6701</v>
      </c>
      <c r="L526" s="49" t="inlineStr">
        <is>
          <t>2000-01-03</t>
        </is>
      </c>
      <c r="M526" s="49" t="inlineStr">
        <is>
          <t>2026-08-25</t>
        </is>
      </c>
      <c r="N526" s="48" t="n">
        <v>317</v>
      </c>
      <c r="O526" s="51" t="n">
        <v>-14.5395</v>
      </c>
      <c r="P526" s="51" t="n">
        <v>-51.8487</v>
      </c>
      <c r="Q526" s="51" t="n">
        <v>33.5975</v>
      </c>
      <c r="R526" s="51" t="n">
        <v>-6.7137</v>
      </c>
      <c r="S526" s="52">
        <f>IF($I526="Yes",$O526,"")</f>
        <v/>
      </c>
    </row>
    <row r="527">
      <c r="A527" s="43" t="inlineStr">
        <is>
          <t>J</t>
        </is>
      </c>
      <c r="B527" s="44" t="inlineStr">
        <is>
          <t>Jacobs Solutions Inc.</t>
        </is>
      </c>
      <c r="C527" s="44" t="inlineStr">
        <is>
          <t>US</t>
        </is>
      </c>
      <c r="D527" s="44" t="inlineStr">
        <is>
          <t>S&amp;P 500</t>
        </is>
      </c>
      <c r="E527" s="44" t="inlineStr">
        <is>
          <t>Industrials</t>
        </is>
      </c>
      <c r="F527" s="45" t="n">
        <v>17733691392</v>
      </c>
      <c r="G527" s="44" t="inlineStr">
        <is>
          <t>nightly refresh</t>
        </is>
      </c>
      <c r="H527" s="43" t="n">
        <v>421</v>
      </c>
      <c r="I527" s="44" t="inlineStr">
        <is>
          <t>No</t>
        </is>
      </c>
      <c r="J527" s="44" t="inlineStr">
        <is>
          <t>1980-03-17</t>
        </is>
      </c>
      <c r="K527" s="43" t="n">
        <v>6701</v>
      </c>
      <c r="L527" s="44" t="inlineStr">
        <is>
          <t>2000-01-03</t>
        </is>
      </c>
      <c r="M527" s="44" t="inlineStr">
        <is>
          <t>2026-08-25</t>
        </is>
      </c>
      <c r="N527" s="43" t="n">
        <v>368</v>
      </c>
      <c r="O527" s="46" t="n">
        <v>-19.4138</v>
      </c>
      <c r="P527" s="46" t="n">
        <v>-74.5668</v>
      </c>
      <c r="Q527" s="46" t="n">
        <v>45.8248</v>
      </c>
      <c r="R527" s="46" t="n">
        <v>-9.696999999999999</v>
      </c>
      <c r="S527" s="47">
        <f>IF($I527="Yes",$O527,"")</f>
        <v/>
      </c>
    </row>
    <row r="528">
      <c r="A528" s="48" t="inlineStr">
        <is>
          <t>JBHT</t>
        </is>
      </c>
      <c r="B528" s="49" t="inlineStr">
        <is>
          <t>J.B. Hunt Transport Services, Inc.</t>
        </is>
      </c>
      <c r="C528" s="49" t="inlineStr">
        <is>
          <t>US</t>
        </is>
      </c>
      <c r="D528" s="49" t="inlineStr">
        <is>
          <t>S&amp;P 500</t>
        </is>
      </c>
      <c r="E528" s="49" t="inlineStr">
        <is>
          <t>Industrials</t>
        </is>
      </c>
      <c r="F528" s="50" t="n">
        <v>24759734272</v>
      </c>
      <c r="G528" s="49" t="inlineStr">
        <is>
          <t>nightly refresh</t>
        </is>
      </c>
      <c r="H528" s="48" t="n">
        <v>363</v>
      </c>
      <c r="I528" s="49" t="inlineStr">
        <is>
          <t>No</t>
        </is>
      </c>
      <c r="J528" s="49" t="inlineStr">
        <is>
          <t>1983-11-22</t>
        </is>
      </c>
      <c r="K528" s="48" t="n">
        <v>6701</v>
      </c>
      <c r="L528" s="49" t="inlineStr">
        <is>
          <t>2000-01-03</t>
        </is>
      </c>
      <c r="M528" s="49" t="inlineStr">
        <is>
          <t>2026-08-25</t>
        </is>
      </c>
      <c r="N528" s="48" t="n">
        <v>394</v>
      </c>
      <c r="O528" s="51" t="n">
        <v>-16.1769</v>
      </c>
      <c r="P528" s="51" t="n">
        <v>-53.4322</v>
      </c>
      <c r="Q528" s="51" t="n">
        <v>49.6138</v>
      </c>
      <c r="R528" s="51" t="n">
        <v>-12.3892</v>
      </c>
      <c r="S528" s="52">
        <f>IF($I528="Yes",$O528,"")</f>
        <v/>
      </c>
    </row>
    <row r="529">
      <c r="A529" s="43" t="inlineStr">
        <is>
          <t>JCI</t>
        </is>
      </c>
      <c r="B529" s="44" t="inlineStr">
        <is>
          <t>Johnson Controls International plc</t>
        </is>
      </c>
      <c r="C529" s="44" t="inlineStr">
        <is>
          <t>US</t>
        </is>
      </c>
      <c r="D529" s="44" t="inlineStr">
        <is>
          <t>S&amp;P 500</t>
        </is>
      </c>
      <c r="E529" s="44" t="inlineStr">
        <is>
          <t>Industrials</t>
        </is>
      </c>
      <c r="F529" s="45" t="n">
        <v>87426662400</v>
      </c>
      <c r="G529" s="44" t="inlineStr">
        <is>
          <t>nightly refresh</t>
        </is>
      </c>
      <c r="H529" s="43" t="n">
        <v>149</v>
      </c>
      <c r="I529" s="44" t="inlineStr">
        <is>
          <t>No</t>
        </is>
      </c>
      <c r="J529" s="44" t="inlineStr">
        <is>
          <t>1987-09-28</t>
        </is>
      </c>
      <c r="K529" s="43" t="n">
        <v>6701</v>
      </c>
      <c r="L529" s="44" t="inlineStr">
        <is>
          <t>2000-01-03</t>
        </is>
      </c>
      <c r="M529" s="44" t="inlineStr">
        <is>
          <t>2026-08-25</t>
        </is>
      </c>
      <c r="N529" s="43" t="n">
        <v>339</v>
      </c>
      <c r="O529" s="46" t="n">
        <v>-22.0653</v>
      </c>
      <c r="P529" s="46" t="n">
        <v>-86.247</v>
      </c>
      <c r="Q529" s="46" t="n">
        <v>50.6026</v>
      </c>
      <c r="R529" s="46" t="n">
        <v>-9.7033</v>
      </c>
      <c r="S529" s="47">
        <f>IF($I529="Yes",$O529,"")</f>
        <v/>
      </c>
    </row>
    <row r="530">
      <c r="A530" s="48" t="inlineStr">
        <is>
          <t>LHX</t>
        </is>
      </c>
      <c r="B530" s="49" t="inlineStr">
        <is>
          <t>L3Harris Technologies, Inc.</t>
        </is>
      </c>
      <c r="C530" s="49" t="inlineStr">
        <is>
          <t>US</t>
        </is>
      </c>
      <c r="D530" s="49" t="inlineStr">
        <is>
          <t>S&amp;P 500</t>
        </is>
      </c>
      <c r="E530" s="49" t="inlineStr">
        <is>
          <t>Industrials</t>
        </is>
      </c>
      <c r="F530" s="50" t="n">
        <v>48966995968</v>
      </c>
      <c r="G530" s="49" t="inlineStr">
        <is>
          <t>nightly refresh</t>
        </is>
      </c>
      <c r="H530" s="48" t="n">
        <v>241</v>
      </c>
      <c r="I530" s="49" t="inlineStr">
        <is>
          <t>No</t>
        </is>
      </c>
      <c r="J530" s="49" t="inlineStr">
        <is>
          <t>1981-12-31</t>
        </is>
      </c>
      <c r="K530" s="48" t="n">
        <v>6701</v>
      </c>
      <c r="L530" s="49" t="inlineStr">
        <is>
          <t>2000-01-03</t>
        </is>
      </c>
      <c r="M530" s="49" t="inlineStr">
        <is>
          <t>2026-08-25</t>
        </is>
      </c>
      <c r="N530" s="48" t="n">
        <v>334</v>
      </c>
      <c r="O530" s="51" t="n">
        <v>-17.8139</v>
      </c>
      <c r="P530" s="51" t="n">
        <v>-57.6516</v>
      </c>
      <c r="Q530" s="51" t="n">
        <v>42.6848</v>
      </c>
      <c r="R530" s="51" t="n">
        <v>-30.3459</v>
      </c>
      <c r="S530" s="52">
        <f>IF($I530="Yes",$O530,"")</f>
        <v/>
      </c>
    </row>
    <row r="531">
      <c r="A531" s="43" t="inlineStr">
        <is>
          <t>LII</t>
        </is>
      </c>
      <c r="B531" s="44" t="inlineStr">
        <is>
          <t>Lennox International Inc.</t>
        </is>
      </c>
      <c r="C531" s="44" t="inlineStr">
        <is>
          <t>US</t>
        </is>
      </c>
      <c r="D531" s="44" t="inlineStr">
        <is>
          <t>S&amp;P 500</t>
        </is>
      </c>
      <c r="E531" s="44" t="inlineStr">
        <is>
          <t>Industrials</t>
        </is>
      </c>
      <c r="F531" s="45" t="n">
        <v>13607229440</v>
      </c>
      <c r="G531" s="44" t="inlineStr">
        <is>
          <t>nightly refresh</t>
        </is>
      </c>
      <c r="H531" s="43" t="n">
        <v>460</v>
      </c>
      <c r="I531" s="44" t="inlineStr">
        <is>
          <t>No</t>
        </is>
      </c>
      <c r="J531" s="44" t="inlineStr">
        <is>
          <t>1999-07-29</t>
        </is>
      </c>
      <c r="K531" s="43" t="n">
        <v>6701</v>
      </c>
      <c r="L531" s="44" t="inlineStr">
        <is>
          <t>2000-01-03</t>
        </is>
      </c>
      <c r="M531" s="44" t="inlineStr">
        <is>
          <t>2026-08-25</t>
        </is>
      </c>
      <c r="N531" s="43" t="n">
        <v>344</v>
      </c>
      <c r="O531" s="46" t="n">
        <v>-18.3908</v>
      </c>
      <c r="P531" s="46" t="n">
        <v>-54.2248</v>
      </c>
      <c r="Q531" s="46" t="n">
        <v>52.6016</v>
      </c>
      <c r="R531" s="46" t="n">
        <v>-33.7511</v>
      </c>
      <c r="S531" s="47">
        <f>IF($I531="Yes",$O531,"")</f>
        <v/>
      </c>
    </row>
    <row r="532">
      <c r="A532" s="48" t="inlineStr">
        <is>
          <t>LMT</t>
        </is>
      </c>
      <c r="B532" s="49" t="inlineStr">
        <is>
          <t>Lockheed Martin Corporation</t>
        </is>
      </c>
      <c r="C532" s="49" t="inlineStr">
        <is>
          <t>US</t>
        </is>
      </c>
      <c r="D532" s="49" t="inlineStr">
        <is>
          <t>S&amp;P 500</t>
        </is>
      </c>
      <c r="E532" s="49" t="inlineStr">
        <is>
          <t>Industrials</t>
        </is>
      </c>
      <c r="F532" s="50" t="n">
        <v>130539864064</v>
      </c>
      <c r="G532" s="49" t="inlineStr">
        <is>
          <t>nightly refresh</t>
        </is>
      </c>
      <c r="H532" s="48" t="n">
        <v>97</v>
      </c>
      <c r="I532" s="49" t="inlineStr">
        <is>
          <t>No</t>
        </is>
      </c>
      <c r="J532" s="49" t="inlineStr">
        <is>
          <t>1962-01-02</t>
        </is>
      </c>
      <c r="K532" s="48" t="n">
        <v>6701</v>
      </c>
      <c r="L532" s="49" t="inlineStr">
        <is>
          <t>2000-01-03</t>
        </is>
      </c>
      <c r="M532" s="49" t="inlineStr">
        <is>
          <t>2026-08-25</t>
        </is>
      </c>
      <c r="N532" s="48" t="n">
        <v>285</v>
      </c>
      <c r="O532" s="51" t="n">
        <v>-15.1023</v>
      </c>
      <c r="P532" s="51" t="n">
        <v>-50.8596</v>
      </c>
      <c r="Q532" s="51" t="n">
        <v>36.3676</v>
      </c>
      <c r="R532" s="51" t="n">
        <v>-19.0515</v>
      </c>
      <c r="S532" s="52">
        <f>IF($I532="Yes",$O532,"")</f>
        <v/>
      </c>
    </row>
    <row r="533">
      <c r="A533" s="43" t="inlineStr">
        <is>
          <t>LUV</t>
        </is>
      </c>
      <c r="B533" s="44" t="inlineStr">
        <is>
          <t>Southwest Airlines Co.</t>
        </is>
      </c>
      <c r="C533" s="44" t="inlineStr">
        <is>
          <t>US</t>
        </is>
      </c>
      <c r="D533" s="44" t="inlineStr">
        <is>
          <t>S&amp;P 500</t>
        </is>
      </c>
      <c r="E533" s="44" t="inlineStr">
        <is>
          <t>Industrials</t>
        </is>
      </c>
      <c r="F533" s="45" t="n">
        <v>19896096768</v>
      </c>
      <c r="G533" s="44" t="inlineStr">
        <is>
          <t>nightly refresh</t>
        </is>
      </c>
      <c r="H533" s="43" t="n">
        <v>402</v>
      </c>
      <c r="I533" s="44" t="inlineStr">
        <is>
          <t>No</t>
        </is>
      </c>
      <c r="J533" s="44" t="inlineStr">
        <is>
          <t>1980-01-02</t>
        </is>
      </c>
      <c r="K533" s="43" t="n">
        <v>6701</v>
      </c>
      <c r="L533" s="44" t="inlineStr">
        <is>
          <t>2000-01-03</t>
        </is>
      </c>
      <c r="M533" s="44" t="inlineStr">
        <is>
          <t>2026-08-25</t>
        </is>
      </c>
      <c r="N533" s="43" t="n">
        <v>362</v>
      </c>
      <c r="O533" s="46" t="n">
        <v>-23.3647</v>
      </c>
      <c r="P533" s="46" t="n">
        <v>-70.0852</v>
      </c>
      <c r="Q533" s="46" t="n">
        <v>47.6914</v>
      </c>
      <c r="R533" s="46" t="n">
        <v>-25.2852</v>
      </c>
      <c r="S533" s="47">
        <f>IF($I533="Yes",$O533,"")</f>
        <v/>
      </c>
    </row>
    <row r="534">
      <c r="A534" s="48" t="inlineStr">
        <is>
          <t>MAS</t>
        </is>
      </c>
      <c r="B534" s="49" t="inlineStr">
        <is>
          <t>Masco Corporation</t>
        </is>
      </c>
      <c r="C534" s="49" t="inlineStr">
        <is>
          <t>US</t>
        </is>
      </c>
      <c r="D534" s="49" t="inlineStr">
        <is>
          <t>S&amp;P 500</t>
        </is>
      </c>
      <c r="E534" s="49" t="inlineStr">
        <is>
          <t>Industrials</t>
        </is>
      </c>
      <c r="F534" s="50" t="n">
        <v>14512994304</v>
      </c>
      <c r="G534" s="49" t="inlineStr">
        <is>
          <t>nightly refresh</t>
        </is>
      </c>
      <c r="H534" s="48" t="n">
        <v>445</v>
      </c>
      <c r="I534" s="49" t="inlineStr">
        <is>
          <t>No</t>
        </is>
      </c>
      <c r="J534" s="49" t="inlineStr">
        <is>
          <t>1980-03-17</t>
        </is>
      </c>
      <c r="K534" s="48" t="n">
        <v>6701</v>
      </c>
      <c r="L534" s="49" t="inlineStr">
        <is>
          <t>2000-01-03</t>
        </is>
      </c>
      <c r="M534" s="49" t="inlineStr">
        <is>
          <t>2026-08-25</t>
        </is>
      </c>
      <c r="N534" s="48" t="n">
        <v>357</v>
      </c>
      <c r="O534" s="51" t="n">
        <v>-20.9293</v>
      </c>
      <c r="P534" s="51" t="n">
        <v>-82.7282</v>
      </c>
      <c r="Q534" s="51" t="n">
        <v>51.2173</v>
      </c>
      <c r="R534" s="51" t="n">
        <v>-12.4345</v>
      </c>
      <c r="S534" s="52">
        <f>IF($I534="Yes",$O534,"")</f>
        <v/>
      </c>
    </row>
    <row r="535">
      <c r="A535" s="43" t="inlineStr">
        <is>
          <t>MMM</t>
        </is>
      </c>
      <c r="B535" s="44" t="inlineStr">
        <is>
          <t>3M Company</t>
        </is>
      </c>
      <c r="C535" s="44" t="inlineStr">
        <is>
          <t>US</t>
        </is>
      </c>
      <c r="D535" s="44" t="inlineStr">
        <is>
          <t>S&amp;P 500</t>
        </is>
      </c>
      <c r="E535" s="44" t="inlineStr">
        <is>
          <t>Industrials</t>
        </is>
      </c>
      <c r="F535" s="45" t="n">
        <v>92830040064</v>
      </c>
      <c r="G535" s="44" t="inlineStr">
        <is>
          <t>nightly refresh</t>
        </is>
      </c>
      <c r="H535" s="43" t="n">
        <v>138</v>
      </c>
      <c r="I535" s="44" t="inlineStr">
        <is>
          <t>No</t>
        </is>
      </c>
      <c r="J535" s="44" t="inlineStr">
        <is>
          <t>1962-01-02</t>
        </is>
      </c>
      <c r="K535" s="43" t="n">
        <v>6701</v>
      </c>
      <c r="L535" s="44" t="inlineStr">
        <is>
          <t>2000-01-03</t>
        </is>
      </c>
      <c r="M535" s="44" t="inlineStr">
        <is>
          <t>2026-08-25</t>
        </is>
      </c>
      <c r="N535" s="43" t="n">
        <v>305</v>
      </c>
      <c r="O535" s="46" t="n">
        <v>-16.3806</v>
      </c>
      <c r="P535" s="46" t="n">
        <v>-48.0807</v>
      </c>
      <c r="Q535" s="46" t="n">
        <v>32.6597</v>
      </c>
      <c r="R535" s="46" t="n">
        <v>-2.5661</v>
      </c>
      <c r="S535" s="47">
        <f>IF($I535="Yes",$O535,"")</f>
        <v/>
      </c>
    </row>
    <row r="536">
      <c r="A536" s="48" t="inlineStr">
        <is>
          <t>NDSN</t>
        </is>
      </c>
      <c r="B536" s="49" t="inlineStr">
        <is>
          <t>Nordson Corporation</t>
        </is>
      </c>
      <c r="C536" s="49" t="inlineStr">
        <is>
          <t>US</t>
        </is>
      </c>
      <c r="D536" s="49" t="inlineStr">
        <is>
          <t>S&amp;P 500</t>
        </is>
      </c>
      <c r="E536" s="49" t="inlineStr">
        <is>
          <t>Industrials</t>
        </is>
      </c>
      <c r="F536" s="50" t="n">
        <v>18635894784</v>
      </c>
      <c r="G536" s="49" t="inlineStr">
        <is>
          <t>nightly refresh</t>
        </is>
      </c>
      <c r="H536" s="48" t="n">
        <v>413</v>
      </c>
      <c r="I536" s="49" t="inlineStr">
        <is>
          <t>No</t>
        </is>
      </c>
      <c r="J536" s="49" t="inlineStr">
        <is>
          <t>1980-03-18</t>
        </is>
      </c>
      <c r="K536" s="48" t="n">
        <v>6701</v>
      </c>
      <c r="L536" s="49" t="inlineStr">
        <is>
          <t>2000-01-03</t>
        </is>
      </c>
      <c r="M536" s="49" t="inlineStr">
        <is>
          <t>2026-08-25</t>
        </is>
      </c>
      <c r="N536" s="48" t="n">
        <v>358</v>
      </c>
      <c r="O536" s="51" t="n">
        <v>-17.7183</v>
      </c>
      <c r="P536" s="51" t="n">
        <v>-73.7433</v>
      </c>
      <c r="Q536" s="51" t="n">
        <v>47.911</v>
      </c>
      <c r="R536" s="51" t="n">
        <v>-1.468</v>
      </c>
      <c r="S536" s="52">
        <f>IF($I536="Yes",$O536,"")</f>
        <v/>
      </c>
    </row>
    <row r="537">
      <c r="A537" s="43" t="inlineStr">
        <is>
          <t>NOC</t>
        </is>
      </c>
      <c r="B537" s="44" t="inlineStr">
        <is>
          <t>Northrop Grumman Corporation</t>
        </is>
      </c>
      <c r="C537" s="44" t="inlineStr">
        <is>
          <t>US</t>
        </is>
      </c>
      <c r="D537" s="44" t="inlineStr">
        <is>
          <t>S&amp;P 500</t>
        </is>
      </c>
      <c r="E537" s="44" t="inlineStr">
        <is>
          <t>Industrials</t>
        </is>
      </c>
      <c r="F537" s="45" t="n">
        <v>78127562752</v>
      </c>
      <c r="G537" s="44" t="inlineStr">
        <is>
          <t>nightly refresh</t>
        </is>
      </c>
      <c r="H537" s="43" t="n">
        <v>169</v>
      </c>
      <c r="I537" s="44" t="inlineStr">
        <is>
          <t>No</t>
        </is>
      </c>
      <c r="J537" s="44" t="inlineStr">
        <is>
          <t>1981-12-31</t>
        </is>
      </c>
      <c r="K537" s="43" t="n">
        <v>6701</v>
      </c>
      <c r="L537" s="44" t="inlineStr">
        <is>
          <t>2000-01-03</t>
        </is>
      </c>
      <c r="M537" s="44" t="inlineStr">
        <is>
          <t>2026-08-25</t>
        </is>
      </c>
      <c r="N537" s="43" t="n">
        <v>298</v>
      </c>
      <c r="O537" s="46" t="n">
        <v>-15.3776</v>
      </c>
      <c r="P537" s="46" t="n">
        <v>-58.5331</v>
      </c>
      <c r="Q537" s="46" t="n">
        <v>37.4992</v>
      </c>
      <c r="R537" s="46" t="n">
        <v>-29.5985</v>
      </c>
      <c r="S537" s="47">
        <f>IF($I537="Yes",$O537,"")</f>
        <v/>
      </c>
    </row>
    <row r="538">
      <c r="A538" s="48" t="inlineStr">
        <is>
          <t>NSC</t>
        </is>
      </c>
      <c r="B538" s="49" t="inlineStr">
        <is>
          <t>Norfolk Southern Corporation</t>
        </is>
      </c>
      <c r="C538" s="49" t="inlineStr">
        <is>
          <t>US</t>
        </is>
      </c>
      <c r="D538" s="49" t="inlineStr">
        <is>
          <t>S&amp;P 500</t>
        </is>
      </c>
      <c r="E538" s="49" t="inlineStr">
        <is>
          <t>Industrials</t>
        </is>
      </c>
      <c r="F538" s="50" t="n">
        <v>79214878720</v>
      </c>
      <c r="G538" s="49" t="inlineStr">
        <is>
          <t>nightly refresh</t>
        </is>
      </c>
      <c r="H538" s="48" t="n">
        <v>166</v>
      </c>
      <c r="I538" s="49" t="inlineStr">
        <is>
          <t>No</t>
        </is>
      </c>
      <c r="J538" s="49" t="inlineStr">
        <is>
          <t>1982-06-02</t>
        </is>
      </c>
      <c r="K538" s="48" t="n">
        <v>6701</v>
      </c>
      <c r="L538" s="49" t="inlineStr">
        <is>
          <t>2000-01-03</t>
        </is>
      </c>
      <c r="M538" s="49" t="inlineStr">
        <is>
          <t>2026-08-25</t>
        </is>
      </c>
      <c r="N538" s="48" t="n">
        <v>357</v>
      </c>
      <c r="O538" s="51" t="n">
        <v>-17.6261</v>
      </c>
      <c r="P538" s="51" t="n">
        <v>-63.8056</v>
      </c>
      <c r="Q538" s="51" t="n">
        <v>45.4121</v>
      </c>
      <c r="R538" s="51" t="n">
        <v>-1.6648</v>
      </c>
      <c r="S538" s="52">
        <f>IF($I538="Yes",$O538,"")</f>
        <v/>
      </c>
    </row>
    <row r="539">
      <c r="A539" s="43" t="inlineStr">
        <is>
          <t>ODFL</t>
        </is>
      </c>
      <c r="B539" s="44" t="inlineStr">
        <is>
          <t>Old Dominion Freight Line, Inc.</t>
        </is>
      </c>
      <c r="C539" s="44" t="inlineStr">
        <is>
          <t>US</t>
        </is>
      </c>
      <c r="D539" s="44" t="inlineStr">
        <is>
          <t>S&amp;P 500</t>
        </is>
      </c>
      <c r="E539" s="44" t="inlineStr">
        <is>
          <t>Industrials</t>
        </is>
      </c>
      <c r="F539" s="45" t="n">
        <v>41475112960</v>
      </c>
      <c r="G539" s="44" t="inlineStr">
        <is>
          <t>nightly refresh</t>
        </is>
      </c>
      <c r="H539" s="43" t="n">
        <v>267</v>
      </c>
      <c r="I539" s="44" t="inlineStr">
        <is>
          <t>No</t>
        </is>
      </c>
      <c r="J539" s="44" t="inlineStr">
        <is>
          <t>1991-10-24</t>
        </is>
      </c>
      <c r="K539" s="43" t="n">
        <v>6701</v>
      </c>
      <c r="L539" s="44" t="inlineStr">
        <is>
          <t>2000-01-03</t>
        </is>
      </c>
      <c r="M539" s="44" t="inlineStr">
        <is>
          <t>2026-08-25</t>
        </is>
      </c>
      <c r="N539" s="43" t="n">
        <v>360</v>
      </c>
      <c r="O539" s="46" t="n">
        <v>-17.7208</v>
      </c>
      <c r="P539" s="46" t="n">
        <v>-52.5068</v>
      </c>
      <c r="Q539" s="46" t="n">
        <v>58.5547</v>
      </c>
      <c r="R539" s="46" t="n">
        <v>-21.303</v>
      </c>
      <c r="S539" s="47">
        <f>IF($I539="Yes",$O539,"")</f>
        <v/>
      </c>
    </row>
    <row r="540">
      <c r="A540" s="48" t="inlineStr">
        <is>
          <t>OTIS</t>
        </is>
      </c>
      <c r="B540" s="49" t="inlineStr">
        <is>
          <t>Otis Worldwide Corporation</t>
        </is>
      </c>
      <c r="C540" s="49" t="inlineStr">
        <is>
          <t>US</t>
        </is>
      </c>
      <c r="D540" s="49" t="inlineStr">
        <is>
          <t>S&amp;P 500</t>
        </is>
      </c>
      <c r="E540" s="49" t="inlineStr">
        <is>
          <t>Industrials</t>
        </is>
      </c>
      <c r="F540" s="50" t="n">
        <v>27545233408</v>
      </c>
      <c r="G540" s="49" t="inlineStr">
        <is>
          <t>nightly refresh</t>
        </is>
      </c>
      <c r="H540" s="48" t="n">
        <v>335</v>
      </c>
      <c r="I540" s="49" t="inlineStr">
        <is>
          <t>No</t>
        </is>
      </c>
      <c r="J540" s="49" t="inlineStr">
        <is>
          <t>2020-03-19</t>
        </is>
      </c>
      <c r="K540" s="48" t="n">
        <v>1617</v>
      </c>
      <c r="L540" s="49" t="inlineStr">
        <is>
          <t>2020-03-19</t>
        </is>
      </c>
      <c r="M540" s="49" t="inlineStr">
        <is>
          <t>2026-08-25</t>
        </is>
      </c>
      <c r="N540" s="48" t="n">
        <v>82</v>
      </c>
      <c r="O540" s="51" t="n">
        <v>-13.9643</v>
      </c>
      <c r="P540" s="51" t="n">
        <v>-30.2438</v>
      </c>
      <c r="Q540" s="51" t="n">
        <v>34.1676</v>
      </c>
      <c r="R540" s="51" t="n">
        <v>-23.9751</v>
      </c>
      <c r="S540" s="52">
        <f>IF($I540="Yes",$O540,"")</f>
        <v/>
      </c>
    </row>
    <row r="541">
      <c r="A541" s="43" t="inlineStr">
        <is>
          <t>PCAR</t>
        </is>
      </c>
      <c r="B541" s="44" t="inlineStr">
        <is>
          <t>PACCAR Inc</t>
        </is>
      </c>
      <c r="C541" s="44" t="inlineStr">
        <is>
          <t>US</t>
        </is>
      </c>
      <c r="D541" s="44" t="inlineStr">
        <is>
          <t>S&amp;P 500</t>
        </is>
      </c>
      <c r="E541" s="44" t="inlineStr">
        <is>
          <t>Industrials</t>
        </is>
      </c>
      <c r="F541" s="45" t="n">
        <v>68022140928</v>
      </c>
      <c r="G541" s="44" t="inlineStr">
        <is>
          <t>nightly refresh</t>
        </is>
      </c>
      <c r="H541" s="43" t="n">
        <v>189</v>
      </c>
      <c r="I541" s="44" t="inlineStr">
        <is>
          <t>No</t>
        </is>
      </c>
      <c r="J541" s="44" t="inlineStr">
        <is>
          <t>1980-03-17</t>
        </is>
      </c>
      <c r="K541" s="43" t="n">
        <v>6701</v>
      </c>
      <c r="L541" s="44" t="inlineStr">
        <is>
          <t>2000-01-03</t>
        </is>
      </c>
      <c r="M541" s="44" t="inlineStr">
        <is>
          <t>2026-08-25</t>
        </is>
      </c>
      <c r="N541" s="43" t="n">
        <v>359</v>
      </c>
      <c r="O541" s="46" t="n">
        <v>-16.8502</v>
      </c>
      <c r="P541" s="46" t="n">
        <v>-60.8648</v>
      </c>
      <c r="Q541" s="46" t="n">
        <v>45.1459</v>
      </c>
      <c r="R541" s="46" t="n">
        <v>-6.9505</v>
      </c>
      <c r="S541" s="47">
        <f>IF($I541="Yes",$O541,"")</f>
        <v/>
      </c>
    </row>
    <row r="542">
      <c r="A542" s="48" t="inlineStr">
        <is>
          <t>PH</t>
        </is>
      </c>
      <c r="B542" s="49" t="inlineStr">
        <is>
          <t>Parker-Hannifin Corporation</t>
        </is>
      </c>
      <c r="C542" s="49" t="inlineStr">
        <is>
          <t>US</t>
        </is>
      </c>
      <c r="D542" s="49" t="inlineStr">
        <is>
          <t>S&amp;P 500</t>
        </is>
      </c>
      <c r="E542" s="49" t="inlineStr">
        <is>
          <t>Industrials</t>
        </is>
      </c>
      <c r="F542" s="50" t="n">
        <v>131025084416</v>
      </c>
      <c r="G542" s="49" t="inlineStr">
        <is>
          <t>nightly refresh</t>
        </is>
      </c>
      <c r="H542" s="48" t="n">
        <v>96</v>
      </c>
      <c r="I542" s="49" t="inlineStr">
        <is>
          <t>No</t>
        </is>
      </c>
      <c r="J542" s="49" t="inlineStr">
        <is>
          <t>1980-03-17</t>
        </is>
      </c>
      <c r="K542" s="48" t="n">
        <v>6701</v>
      </c>
      <c r="L542" s="49" t="inlineStr">
        <is>
          <t>2000-01-03</t>
        </is>
      </c>
      <c r="M542" s="49" t="inlineStr">
        <is>
          <t>2026-08-25</t>
        </is>
      </c>
      <c r="N542" s="48" t="n">
        <v>338</v>
      </c>
      <c r="O542" s="51" t="n">
        <v>-17.9319</v>
      </c>
      <c r="P542" s="51" t="n">
        <v>-67.3815</v>
      </c>
      <c r="Q542" s="51" t="n">
        <v>49.2214</v>
      </c>
      <c r="R542" s="51" t="n">
        <v>-7.6031</v>
      </c>
      <c r="S542" s="52">
        <f>IF($I542="Yes",$O542,"")</f>
        <v/>
      </c>
    </row>
    <row r="543">
      <c r="A543" s="43" t="inlineStr">
        <is>
          <t>PNR</t>
        </is>
      </c>
      <c r="B543" s="44" t="inlineStr">
        <is>
          <t>Pentair plc</t>
        </is>
      </c>
      <c r="C543" s="44" t="inlineStr">
        <is>
          <t>US</t>
        </is>
      </c>
      <c r="D543" s="44" t="inlineStr">
        <is>
          <t>S&amp;P 500</t>
        </is>
      </c>
      <c r="E543" s="44" t="inlineStr">
        <is>
          <t>Industrials</t>
        </is>
      </c>
      <c r="F543" s="45" t="n">
        <v>10032455680</v>
      </c>
      <c r="G543" s="44" t="inlineStr">
        <is>
          <t>nightly refresh</t>
        </is>
      </c>
      <c r="H543" s="43" t="n">
        <v>489</v>
      </c>
      <c r="I543" s="44" t="inlineStr">
        <is>
          <t>No</t>
        </is>
      </c>
      <c r="J543" s="44" t="inlineStr">
        <is>
          <t>1973-05-03</t>
        </is>
      </c>
      <c r="K543" s="43" t="n">
        <v>6701</v>
      </c>
      <c r="L543" s="44" t="inlineStr">
        <is>
          <t>2000-01-03</t>
        </is>
      </c>
      <c r="M543" s="44" t="inlineStr">
        <is>
          <t>2026-08-25</t>
        </is>
      </c>
      <c r="N543" s="43" t="n">
        <v>339</v>
      </c>
      <c r="O543" s="46" t="n">
        <v>-19.3059</v>
      </c>
      <c r="P543" s="46" t="n">
        <v>-56.5041</v>
      </c>
      <c r="Q543" s="46" t="n">
        <v>46.523</v>
      </c>
      <c r="R543" s="46" t="n">
        <v>-44.7568</v>
      </c>
      <c r="S543" s="47">
        <f>IF($I543="Yes",$O543,"")</f>
        <v/>
      </c>
    </row>
    <row r="544">
      <c r="A544" s="48" t="inlineStr">
        <is>
          <t>PWR</t>
        </is>
      </c>
      <c r="B544" s="49" t="inlineStr">
        <is>
          <t>Quanta Services, Inc.</t>
        </is>
      </c>
      <c r="C544" s="49" t="inlineStr">
        <is>
          <t>US</t>
        </is>
      </c>
      <c r="D544" s="49" t="inlineStr">
        <is>
          <t>S&amp;P 500</t>
        </is>
      </c>
      <c r="E544" s="49" t="inlineStr">
        <is>
          <t>Industrials</t>
        </is>
      </c>
      <c r="F544" s="50" t="n">
        <v>92721274880</v>
      </c>
      <c r="G544" s="49" t="inlineStr">
        <is>
          <t>nightly refresh</t>
        </is>
      </c>
      <c r="H544" s="48" t="n">
        <v>139</v>
      </c>
      <c r="I544" s="49" t="inlineStr">
        <is>
          <t>No</t>
        </is>
      </c>
      <c r="J544" s="49" t="inlineStr">
        <is>
          <t>1998-02-12</t>
        </is>
      </c>
      <c r="K544" s="48" t="n">
        <v>6701</v>
      </c>
      <c r="L544" s="49" t="inlineStr">
        <is>
          <t>2000-01-03</t>
        </is>
      </c>
      <c r="M544" s="49" t="inlineStr">
        <is>
          <t>2026-08-25</t>
        </is>
      </c>
      <c r="N544" s="48" t="n">
        <v>371</v>
      </c>
      <c r="O544" s="51" t="n">
        <v>-24.1357</v>
      </c>
      <c r="P544" s="51" t="n">
        <v>-92.42059999999999</v>
      </c>
      <c r="Q544" s="51" t="n">
        <v>72.8402</v>
      </c>
      <c r="R544" s="51" t="n">
        <v>-23.451</v>
      </c>
      <c r="S544" s="52">
        <f>IF($I544="Yes",$O544,"")</f>
        <v/>
      </c>
    </row>
    <row r="545">
      <c r="A545" s="43" t="inlineStr">
        <is>
          <t>ROK</t>
        </is>
      </c>
      <c r="B545" s="44" t="inlineStr">
        <is>
          <t>Rockwell Automation, Inc.</t>
        </is>
      </c>
      <c r="C545" s="44" t="inlineStr">
        <is>
          <t>US</t>
        </is>
      </c>
      <c r="D545" s="44" t="inlineStr">
        <is>
          <t>S&amp;P 500</t>
        </is>
      </c>
      <c r="E545" s="44" t="inlineStr">
        <is>
          <t>Industrials</t>
        </is>
      </c>
      <c r="F545" s="45" t="n">
        <v>48042528768</v>
      </c>
      <c r="G545" s="44" t="inlineStr">
        <is>
          <t>nightly refresh</t>
        </is>
      </c>
      <c r="H545" s="43" t="n">
        <v>244</v>
      </c>
      <c r="I545" s="44" t="inlineStr">
        <is>
          <t>No</t>
        </is>
      </c>
      <c r="J545" s="44" t="inlineStr">
        <is>
          <t>1981-12-31</t>
        </is>
      </c>
      <c r="K545" s="43" t="n">
        <v>6701</v>
      </c>
      <c r="L545" s="44" t="inlineStr">
        <is>
          <t>2000-01-03</t>
        </is>
      </c>
      <c r="M545" s="44" t="inlineStr">
        <is>
          <t>2026-08-25</t>
        </is>
      </c>
      <c r="N545" s="43" t="n">
        <v>340</v>
      </c>
      <c r="O545" s="46" t="n">
        <v>-18.7362</v>
      </c>
      <c r="P545" s="46" t="n">
        <v>-70.14109999999999</v>
      </c>
      <c r="Q545" s="46" t="n">
        <v>53.9629</v>
      </c>
      <c r="R545" s="46" t="n">
        <v>-13.6641</v>
      </c>
      <c r="S545" s="47">
        <f>IF($I545="Yes",$O545,"")</f>
        <v/>
      </c>
    </row>
    <row r="546">
      <c r="A546" s="48" t="inlineStr">
        <is>
          <t>RSG</t>
        </is>
      </c>
      <c r="B546" s="49" t="inlineStr">
        <is>
          <t>Republic Services, Inc.</t>
        </is>
      </c>
      <c r="C546" s="49" t="inlineStr">
        <is>
          <t>US</t>
        </is>
      </c>
      <c r="D546" s="49" t="inlineStr">
        <is>
          <t>S&amp;P 500</t>
        </is>
      </c>
      <c r="E546" s="49" t="inlineStr">
        <is>
          <t>Industrials</t>
        </is>
      </c>
      <c r="F546" s="50" t="n">
        <v>68034400256</v>
      </c>
      <c r="G546" s="49" t="inlineStr">
        <is>
          <t>nightly refresh</t>
        </is>
      </c>
      <c r="H546" s="48" t="n">
        <v>188</v>
      </c>
      <c r="I546" s="49" t="inlineStr">
        <is>
          <t>No</t>
        </is>
      </c>
      <c r="J546" s="49" t="inlineStr">
        <is>
          <t>1998-07-01</t>
        </is>
      </c>
      <c r="K546" s="48" t="n">
        <v>6701</v>
      </c>
      <c r="L546" s="49" t="inlineStr">
        <is>
          <t>2000-01-03</t>
        </is>
      </c>
      <c r="M546" s="49" t="inlineStr">
        <is>
          <t>2026-08-25</t>
        </is>
      </c>
      <c r="N546" s="48" t="n">
        <v>266</v>
      </c>
      <c r="O546" s="51" t="n">
        <v>-13.3478</v>
      </c>
      <c r="P546" s="51" t="n">
        <v>-55.9732</v>
      </c>
      <c r="Q546" s="51" t="n">
        <v>34.3081</v>
      </c>
      <c r="R546" s="51" t="n">
        <v>-5.5615</v>
      </c>
      <c r="S546" s="52">
        <f>IF($I546="Yes",$O546,"")</f>
        <v/>
      </c>
    </row>
    <row r="547">
      <c r="A547" s="43" t="inlineStr">
        <is>
          <t>RTX</t>
        </is>
      </c>
      <c r="B547" s="44" t="inlineStr">
        <is>
          <t>RTX Corporation</t>
        </is>
      </c>
      <c r="C547" s="44" t="inlineStr">
        <is>
          <t>US</t>
        </is>
      </c>
      <c r="D547" s="44" t="inlineStr">
        <is>
          <t>S&amp;P 500</t>
        </is>
      </c>
      <c r="E547" s="44" t="inlineStr">
        <is>
          <t>Industrials</t>
        </is>
      </c>
      <c r="F547" s="45" t="n">
        <v>285711237120</v>
      </c>
      <c r="G547" s="44" t="inlineStr">
        <is>
          <t>nightly refresh</t>
        </is>
      </c>
      <c r="H547" s="43" t="n">
        <v>42</v>
      </c>
      <c r="I547" s="44" t="inlineStr">
        <is>
          <t>Yes</t>
        </is>
      </c>
      <c r="J547" s="44" t="inlineStr">
        <is>
          <t>1962-04-02</t>
        </is>
      </c>
      <c r="K547" s="43" t="n">
        <v>6701</v>
      </c>
      <c r="L547" s="44" t="inlineStr">
        <is>
          <t>2000-01-03</t>
        </is>
      </c>
      <c r="M547" s="44" t="inlineStr">
        <is>
          <t>2026-08-25</t>
        </is>
      </c>
      <c r="N547" s="43" t="n">
        <v>313</v>
      </c>
      <c r="O547" s="46" t="n">
        <v>-15.7729</v>
      </c>
      <c r="P547" s="46" t="n">
        <v>-52.4699</v>
      </c>
      <c r="Q547" s="46" t="n">
        <v>38.7339</v>
      </c>
      <c r="R547" s="46" t="n">
        <v>-7.1242</v>
      </c>
      <c r="S547" s="47">
        <f>IF($I547="Yes",$O547,"")</f>
        <v/>
      </c>
    </row>
    <row r="548">
      <c r="A548" s="48" t="inlineStr">
        <is>
          <t>SNA</t>
        </is>
      </c>
      <c r="B548" s="49" t="inlineStr">
        <is>
          <t>Snap-on Incorporated</t>
        </is>
      </c>
      <c r="C548" s="49" t="inlineStr">
        <is>
          <t>US</t>
        </is>
      </c>
      <c r="D548" s="49" t="inlineStr">
        <is>
          <t>S&amp;P 500</t>
        </is>
      </c>
      <c r="E548" s="49" t="inlineStr">
        <is>
          <t>Industrials</t>
        </is>
      </c>
      <c r="F548" s="50" t="n">
        <v>20560498688</v>
      </c>
      <c r="G548" s="49" t="inlineStr">
        <is>
          <t>nightly refresh</t>
        </is>
      </c>
      <c r="H548" s="48" t="n">
        <v>400</v>
      </c>
      <c r="I548" s="49" t="inlineStr">
        <is>
          <t>No</t>
        </is>
      </c>
      <c r="J548" s="49" t="inlineStr">
        <is>
          <t>1973-02-21</t>
        </is>
      </c>
      <c r="K548" s="48" t="n">
        <v>6701</v>
      </c>
      <c r="L548" s="49" t="inlineStr">
        <is>
          <t>2000-01-03</t>
        </is>
      </c>
      <c r="M548" s="49" t="inlineStr">
        <is>
          <t>2026-08-25</t>
        </is>
      </c>
      <c r="N548" s="48" t="n">
        <v>318</v>
      </c>
      <c r="O548" s="51" t="n">
        <v>-15.2107</v>
      </c>
      <c r="P548" s="51" t="n">
        <v>-65.8468</v>
      </c>
      <c r="Q548" s="51" t="n">
        <v>40.552</v>
      </c>
      <c r="R548" s="51" t="n">
        <v>-6.1491</v>
      </c>
      <c r="S548" s="52">
        <f>IF($I548="Yes",$O548,"")</f>
        <v/>
      </c>
    </row>
    <row r="549">
      <c r="A549" s="43" t="inlineStr">
        <is>
          <t>SWK</t>
        </is>
      </c>
      <c r="B549" s="44" t="inlineStr">
        <is>
          <t>Stanley Black &amp; Decker, Inc.</t>
        </is>
      </c>
      <c r="C549" s="44" t="inlineStr">
        <is>
          <t>US</t>
        </is>
      </c>
      <c r="D549" s="44" t="inlineStr">
        <is>
          <t>S&amp;P 500</t>
        </is>
      </c>
      <c r="E549" s="44" t="inlineStr">
        <is>
          <t>Industrials</t>
        </is>
      </c>
      <c r="F549" s="45" t="n">
        <v>15065420800</v>
      </c>
      <c r="G549" s="44" t="inlineStr">
        <is>
          <t>nightly refresh</t>
        </is>
      </c>
      <c r="H549" s="43" t="n">
        <v>441</v>
      </c>
      <c r="I549" s="44" t="inlineStr">
        <is>
          <t>No</t>
        </is>
      </c>
      <c r="J549" s="44" t="inlineStr">
        <is>
          <t>1980-03-17</t>
        </is>
      </c>
      <c r="K549" s="43" t="n">
        <v>6701</v>
      </c>
      <c r="L549" s="44" t="inlineStr">
        <is>
          <t>2000-01-03</t>
        </is>
      </c>
      <c r="M549" s="44" t="inlineStr">
        <is>
          <t>2026-08-25</t>
        </is>
      </c>
      <c r="N549" s="43" t="n">
        <v>354</v>
      </c>
      <c r="O549" s="46" t="n">
        <v>-20.4206</v>
      </c>
      <c r="P549" s="46" t="n">
        <v>-63.1049</v>
      </c>
      <c r="Q549" s="46" t="n">
        <v>43.5839</v>
      </c>
      <c r="R549" s="46" t="n">
        <v>-5.9419</v>
      </c>
      <c r="S549" s="47">
        <f>IF($I549="Yes",$O549,"")</f>
        <v/>
      </c>
    </row>
    <row r="550">
      <c r="A550" s="48" t="inlineStr">
        <is>
          <t>TDG</t>
        </is>
      </c>
      <c r="B550" s="49" t="inlineStr">
        <is>
          <t>TransDigm Group Incorporated</t>
        </is>
      </c>
      <c r="C550" s="49" t="inlineStr">
        <is>
          <t>US</t>
        </is>
      </c>
      <c r="D550" s="49" t="inlineStr">
        <is>
          <t>S&amp;P 500</t>
        </is>
      </c>
      <c r="E550" s="49" t="inlineStr">
        <is>
          <t>Industrials</t>
        </is>
      </c>
      <c r="F550" s="50" t="n">
        <v>66722082816</v>
      </c>
      <c r="G550" s="49" t="inlineStr">
        <is>
          <t>nightly refresh</t>
        </is>
      </c>
      <c r="H550" s="48" t="n">
        <v>192</v>
      </c>
      <c r="I550" s="49" t="inlineStr">
        <is>
          <t>No</t>
        </is>
      </c>
      <c r="J550" s="49" t="inlineStr">
        <is>
          <t>2006-03-15</t>
        </is>
      </c>
      <c r="K550" s="48" t="n">
        <v>5144</v>
      </c>
      <c r="L550" s="49" t="inlineStr">
        <is>
          <t>2006-03-15</t>
        </is>
      </c>
      <c r="M550" s="49" t="inlineStr">
        <is>
          <t>2026-08-25</t>
        </is>
      </c>
      <c r="N550" s="48" t="n">
        <v>239</v>
      </c>
      <c r="O550" s="51" t="n">
        <v>-14.4228</v>
      </c>
      <c r="P550" s="51" t="n">
        <v>-63.5061</v>
      </c>
      <c r="Q550" s="51" t="n">
        <v>60.1161</v>
      </c>
      <c r="R550" s="51" t="n">
        <v>-18.4842</v>
      </c>
      <c r="S550" s="52">
        <f>IF($I550="Yes",$O550,"")</f>
        <v/>
      </c>
    </row>
    <row r="551">
      <c r="A551" s="43" t="inlineStr">
        <is>
          <t>TT</t>
        </is>
      </c>
      <c r="B551" s="44" t="inlineStr">
        <is>
          <t>Trane Technologies plc</t>
        </is>
      </c>
      <c r="C551" s="44" t="inlineStr">
        <is>
          <t>US</t>
        </is>
      </c>
      <c r="D551" s="44" t="inlineStr">
        <is>
          <t>S&amp;P 500</t>
        </is>
      </c>
      <c r="E551" s="44" t="inlineStr">
        <is>
          <t>Industrials</t>
        </is>
      </c>
      <c r="F551" s="45" t="n">
        <v>101958746112</v>
      </c>
      <c r="G551" s="44" t="inlineStr">
        <is>
          <t>nightly refresh</t>
        </is>
      </c>
      <c r="H551" s="43" t="n">
        <v>121</v>
      </c>
      <c r="I551" s="44" t="inlineStr">
        <is>
          <t>No</t>
        </is>
      </c>
      <c r="J551" s="44" t="inlineStr">
        <is>
          <t>1980-03-17</t>
        </is>
      </c>
      <c r="K551" s="43" t="n">
        <v>6701</v>
      </c>
      <c r="L551" s="44" t="inlineStr">
        <is>
          <t>2000-01-03</t>
        </is>
      </c>
      <c r="M551" s="44" t="inlineStr">
        <is>
          <t>2026-08-25</t>
        </is>
      </c>
      <c r="N551" s="43" t="n">
        <v>333</v>
      </c>
      <c r="O551" s="46" t="n">
        <v>-18.5583</v>
      </c>
      <c r="P551" s="46" t="n">
        <v>-76.28100000000001</v>
      </c>
      <c r="Q551" s="46" t="n">
        <v>53.004</v>
      </c>
      <c r="R551" s="46" t="n">
        <v>-10.0065</v>
      </c>
      <c r="S551" s="47">
        <f>IF($I551="Yes",$O551,"")</f>
        <v/>
      </c>
    </row>
    <row r="552">
      <c r="A552" s="48" t="inlineStr">
        <is>
          <t>TXT</t>
        </is>
      </c>
      <c r="B552" s="49" t="inlineStr">
        <is>
          <t>Textron Inc.</t>
        </is>
      </c>
      <c r="C552" s="49" t="inlineStr">
        <is>
          <t>US</t>
        </is>
      </c>
      <c r="D552" s="49" t="inlineStr">
        <is>
          <t>S&amp;P 500</t>
        </is>
      </c>
      <c r="E552" s="49" t="inlineStr">
        <is>
          <t>Industrials</t>
        </is>
      </c>
      <c r="F552" s="50" t="n">
        <v>14328228864</v>
      </c>
      <c r="G552" s="49" t="inlineStr">
        <is>
          <t>nightly refresh</t>
        </is>
      </c>
      <c r="H552" s="48" t="n">
        <v>448</v>
      </c>
      <c r="I552" s="49" t="inlineStr">
        <is>
          <t>No</t>
        </is>
      </c>
      <c r="J552" s="49" t="inlineStr">
        <is>
          <t>1973-02-21</t>
        </is>
      </c>
      <c r="K552" s="48" t="n">
        <v>6701</v>
      </c>
      <c r="L552" s="49" t="inlineStr">
        <is>
          <t>2000-01-03</t>
        </is>
      </c>
      <c r="M552" s="49" t="inlineStr">
        <is>
          <t>2026-08-25</t>
        </is>
      </c>
      <c r="N552" s="48" t="n">
        <v>349</v>
      </c>
      <c r="O552" s="51" t="n">
        <v>-21.6143</v>
      </c>
      <c r="P552" s="51" t="n">
        <v>-94.129</v>
      </c>
      <c r="Q552" s="51" t="n">
        <v>59.0713</v>
      </c>
      <c r="R552" s="51" t="n">
        <v>-19.4296</v>
      </c>
      <c r="S552" s="52">
        <f>IF($I552="Yes",$O552,"")</f>
        <v/>
      </c>
    </row>
    <row r="553">
      <c r="A553" s="43" t="inlineStr">
        <is>
          <t>UAL</t>
        </is>
      </c>
      <c r="B553" s="44" t="inlineStr">
        <is>
          <t>United Airlines Holdings, Inc.</t>
        </is>
      </c>
      <c r="C553" s="44" t="inlineStr">
        <is>
          <t>US</t>
        </is>
      </c>
      <c r="D553" s="44" t="inlineStr">
        <is>
          <t>S&amp;P 500</t>
        </is>
      </c>
      <c r="E553" s="44" t="inlineStr">
        <is>
          <t>Industrials</t>
        </is>
      </c>
      <c r="F553" s="45" t="n">
        <v>37270343680</v>
      </c>
      <c r="G553" s="44" t="inlineStr">
        <is>
          <t>nightly refresh</t>
        </is>
      </c>
      <c r="H553" s="43" t="n">
        <v>284</v>
      </c>
      <c r="I553" s="44" t="inlineStr">
        <is>
          <t>No</t>
        </is>
      </c>
      <c r="J553" s="44" t="inlineStr">
        <is>
          <t>2006-02-06</t>
        </is>
      </c>
      <c r="K553" s="43" t="n">
        <v>5170</v>
      </c>
      <c r="L553" s="44" t="inlineStr">
        <is>
          <t>2006-02-06</t>
        </is>
      </c>
      <c r="M553" s="44" t="inlineStr">
        <is>
          <t>2026-08-25</t>
        </is>
      </c>
      <c r="N553" s="43" t="n">
        <v>297</v>
      </c>
      <c r="O553" s="46" t="n">
        <v>-30.0621</v>
      </c>
      <c r="P553" s="46" t="n">
        <v>-93.5134</v>
      </c>
      <c r="Q553" s="46" t="n">
        <v>103.3232</v>
      </c>
      <c r="R553" s="46" t="n">
        <v>-15.3924</v>
      </c>
      <c r="S553" s="47">
        <f>IF($I553="Yes",$O553,"")</f>
        <v/>
      </c>
    </row>
    <row r="554">
      <c r="A554" s="48" t="inlineStr">
        <is>
          <t>UNP</t>
        </is>
      </c>
      <c r="B554" s="49" t="inlineStr">
        <is>
          <t>Union Pacific Corporation</t>
        </is>
      </c>
      <c r="C554" s="49" t="inlineStr">
        <is>
          <t>US</t>
        </is>
      </c>
      <c r="D554" s="49" t="inlineStr">
        <is>
          <t>S&amp;P 500</t>
        </is>
      </c>
      <c r="E554" s="49" t="inlineStr">
        <is>
          <t>Industrials</t>
        </is>
      </c>
      <c r="F554" s="50" t="n">
        <v>184531730432</v>
      </c>
      <c r="G554" s="49" t="inlineStr">
        <is>
          <t>nightly refresh</t>
        </is>
      </c>
      <c r="H554" s="48" t="n">
        <v>69</v>
      </c>
      <c r="I554" s="49" t="inlineStr">
        <is>
          <t>No</t>
        </is>
      </c>
      <c r="J554" s="49" t="inlineStr">
        <is>
          <t>1980-01-02</t>
        </is>
      </c>
      <c r="K554" s="48" t="n">
        <v>6701</v>
      </c>
      <c r="L554" s="49" t="inlineStr">
        <is>
          <t>2000-01-03</t>
        </is>
      </c>
      <c r="M554" s="49" t="inlineStr">
        <is>
          <t>2026-08-25</t>
        </is>
      </c>
      <c r="N554" s="48" t="n">
        <v>327</v>
      </c>
      <c r="O554" s="51" t="n">
        <v>-14.4701</v>
      </c>
      <c r="P554" s="51" t="n">
        <v>-60.3347</v>
      </c>
      <c r="Q554" s="51" t="n">
        <v>39.9122</v>
      </c>
      <c r="R554" s="51" t="n">
        <v>-2.0254</v>
      </c>
      <c r="S554" s="52">
        <f>IF($I554="Yes",$O554,"")</f>
        <v/>
      </c>
    </row>
    <row r="555">
      <c r="A555" s="43" t="inlineStr">
        <is>
          <t>UPS</t>
        </is>
      </c>
      <c r="B555" s="44" t="inlineStr">
        <is>
          <t>United Parcel Service, Inc.</t>
        </is>
      </c>
      <c r="C555" s="44" t="inlineStr">
        <is>
          <t>US</t>
        </is>
      </c>
      <c r="D555" s="44" t="inlineStr">
        <is>
          <t>S&amp;P 500</t>
        </is>
      </c>
      <c r="E555" s="44" t="inlineStr">
        <is>
          <t>Industrials</t>
        </is>
      </c>
      <c r="F555" s="45" t="n">
        <v>89885073408</v>
      </c>
      <c r="G555" s="44" t="inlineStr">
        <is>
          <t>nightly refresh</t>
        </is>
      </c>
      <c r="H555" s="43" t="n">
        <v>145</v>
      </c>
      <c r="I555" s="44" t="inlineStr">
        <is>
          <t>No</t>
        </is>
      </c>
      <c r="J555" s="44" t="inlineStr">
        <is>
          <t>1999-11-10</t>
        </is>
      </c>
      <c r="K555" s="43" t="n">
        <v>6701</v>
      </c>
      <c r="L555" s="44" t="inlineStr">
        <is>
          <t>2000-01-03</t>
        </is>
      </c>
      <c r="M555" s="44" t="inlineStr">
        <is>
          <t>2026-08-25</t>
        </is>
      </c>
      <c r="N555" s="43" t="n">
        <v>344</v>
      </c>
      <c r="O555" s="46" t="n">
        <v>-15.848</v>
      </c>
      <c r="P555" s="46" t="n">
        <v>-47.2826</v>
      </c>
      <c r="Q555" s="46" t="n">
        <v>26.5541</v>
      </c>
      <c r="R555" s="46" t="n">
        <v>-11.4425</v>
      </c>
      <c r="S555" s="47">
        <f>IF($I555="Yes",$O555,"")</f>
        <v/>
      </c>
    </row>
    <row r="556">
      <c r="A556" s="48" t="inlineStr">
        <is>
          <t>URI</t>
        </is>
      </c>
      <c r="B556" s="49" t="inlineStr">
        <is>
          <t>United Rentals, Inc.</t>
        </is>
      </c>
      <c r="C556" s="49" t="inlineStr">
        <is>
          <t>US</t>
        </is>
      </c>
      <c r="D556" s="49" t="inlineStr">
        <is>
          <t>S&amp;P 500</t>
        </is>
      </c>
      <c r="E556" s="49" t="inlineStr">
        <is>
          <t>Industrials</t>
        </is>
      </c>
      <c r="F556" s="50" t="n">
        <v>65831391232</v>
      </c>
      <c r="G556" s="49" t="inlineStr">
        <is>
          <t>nightly refresh</t>
        </is>
      </c>
      <c r="H556" s="48" t="n">
        <v>194</v>
      </c>
      <c r="I556" s="49" t="inlineStr">
        <is>
          <t>No</t>
        </is>
      </c>
      <c r="J556" s="49" t="inlineStr">
        <is>
          <t>1997-12-18</t>
        </is>
      </c>
      <c r="K556" s="48" t="n">
        <v>6701</v>
      </c>
      <c r="L556" s="49" t="inlineStr">
        <is>
          <t>2000-01-03</t>
        </is>
      </c>
      <c r="M556" s="49" t="inlineStr">
        <is>
          <t>2026-08-25</t>
        </is>
      </c>
      <c r="N556" s="48" t="n">
        <v>382</v>
      </c>
      <c r="O556" s="51" t="n">
        <v>-26.2982</v>
      </c>
      <c r="P556" s="51" t="n">
        <v>-86.6755</v>
      </c>
      <c r="Q556" s="51" t="n">
        <v>94.38200000000001</v>
      </c>
      <c r="R556" s="51" t="n">
        <v>-10.5347</v>
      </c>
      <c r="S556" s="52">
        <f>IF($I556="Yes",$O556,"")</f>
        <v/>
      </c>
    </row>
    <row r="557">
      <c r="A557" s="43" t="inlineStr">
        <is>
          <t>VLTO</t>
        </is>
      </c>
      <c r="B557" s="44" t="inlineStr">
        <is>
          <t>Veralto Corporation</t>
        </is>
      </c>
      <c r="C557" s="44" t="inlineStr">
        <is>
          <t>US</t>
        </is>
      </c>
      <c r="D557" s="44" t="inlineStr">
        <is>
          <t>S&amp;P 500</t>
        </is>
      </c>
      <c r="E557" s="44" t="inlineStr">
        <is>
          <t>Industrials</t>
        </is>
      </c>
      <c r="F557" s="45" t="n">
        <v>24059965440</v>
      </c>
      <c r="G557" s="44" t="inlineStr">
        <is>
          <t>nightly refresh</t>
        </is>
      </c>
      <c r="H557" s="43" t="n">
        <v>375</v>
      </c>
      <c r="I557" s="44" t="inlineStr">
        <is>
          <t>No</t>
        </is>
      </c>
      <c r="J557" s="44" t="inlineStr">
        <is>
          <t>2023-10-04</t>
        </is>
      </c>
      <c r="K557" s="43" t="n">
        <v>725</v>
      </c>
      <c r="L557" s="44" t="inlineStr">
        <is>
          <t>2023-10-04</t>
        </is>
      </c>
      <c r="M557" s="44" t="inlineStr">
        <is>
          <t>2026-08-25</t>
        </is>
      </c>
      <c r="N557" s="43" t="n">
        <v>36</v>
      </c>
      <c r="O557" s="46" t="n">
        <v>-14.1009</v>
      </c>
      <c r="P557" s="46" t="n">
        <v>-25.6434</v>
      </c>
      <c r="Q557" s="46" t="n">
        <v>29.5155</v>
      </c>
      <c r="R557" s="46" t="n">
        <v>-9.7485</v>
      </c>
      <c r="S557" s="47">
        <f>IF($I557="Yes",$O557,"")</f>
        <v/>
      </c>
    </row>
    <row r="558">
      <c r="A558" s="48" t="inlineStr">
        <is>
          <t>VRSK</t>
        </is>
      </c>
      <c r="B558" s="49" t="inlineStr">
        <is>
          <t>Verisk Analytics, Inc.</t>
        </is>
      </c>
      <c r="C558" s="49" t="inlineStr">
        <is>
          <t>US</t>
        </is>
      </c>
      <c r="D558" s="49" t="inlineStr">
        <is>
          <t>S&amp;P 500</t>
        </is>
      </c>
      <c r="E558" s="49" t="inlineStr">
        <is>
          <t>Industrials</t>
        </is>
      </c>
      <c r="F558" s="50" t="n">
        <v>24452409344</v>
      </c>
      <c r="G558" s="49" t="inlineStr">
        <is>
          <t>nightly refresh</t>
        </is>
      </c>
      <c r="H558" s="48" t="n">
        <v>368</v>
      </c>
      <c r="I558" s="49" t="inlineStr">
        <is>
          <t>No</t>
        </is>
      </c>
      <c r="J558" s="49" t="inlineStr">
        <is>
          <t>2009-10-07</t>
        </is>
      </c>
      <c r="K558" s="48" t="n">
        <v>4246</v>
      </c>
      <c r="L558" s="49" t="inlineStr">
        <is>
          <t>2009-10-07</t>
        </is>
      </c>
      <c r="M558" s="49" t="inlineStr">
        <is>
          <t>2026-08-25</t>
        </is>
      </c>
      <c r="N558" s="48" t="n">
        <v>188</v>
      </c>
      <c r="O558" s="51" t="n">
        <v>-12.9886</v>
      </c>
      <c r="P558" s="51" t="n">
        <v>-51.0526</v>
      </c>
      <c r="Q558" s="51" t="n">
        <v>31.2083</v>
      </c>
      <c r="R558" s="51" t="n">
        <v>-30.7289</v>
      </c>
      <c r="S558" s="52">
        <f>IF($I558="Yes",$O558,"")</f>
        <v/>
      </c>
    </row>
    <row r="559">
      <c r="A559" s="43" t="inlineStr">
        <is>
          <t>VRT</t>
        </is>
      </c>
      <c r="B559" s="44" t="inlineStr">
        <is>
          <t>Vertiv Holdings Co</t>
        </is>
      </c>
      <c r="C559" s="44" t="inlineStr">
        <is>
          <t>US</t>
        </is>
      </c>
      <c r="D559" s="44" t="inlineStr">
        <is>
          <t>S&amp;P 500</t>
        </is>
      </c>
      <c r="E559" s="44" t="inlineStr">
        <is>
          <t>Industrials</t>
        </is>
      </c>
      <c r="F559" s="45" t="n">
        <v>101563727872</v>
      </c>
      <c r="G559" s="44" t="inlineStr">
        <is>
          <t>nightly refresh</t>
        </is>
      </c>
      <c r="H559" s="43" t="n">
        <v>123</v>
      </c>
      <c r="I559" s="44" t="inlineStr">
        <is>
          <t>No</t>
        </is>
      </c>
      <c r="J559" s="44" t="inlineStr">
        <is>
          <t>2018-08-02</t>
        </is>
      </c>
      <c r="K559" s="43" t="n">
        <v>2026</v>
      </c>
      <c r="L559" s="44" t="inlineStr">
        <is>
          <t>2018-08-02</t>
        </is>
      </c>
      <c r="M559" s="44" t="inlineStr">
        <is>
          <t>2026-08-25</t>
        </is>
      </c>
      <c r="N559" s="43" t="n">
        <v>114</v>
      </c>
      <c r="O559" s="46" t="n">
        <v>-22.8277</v>
      </c>
      <c r="P559" s="46" t="n">
        <v>-71.4473</v>
      </c>
      <c r="Q559" s="46" t="n">
        <v>187.895</v>
      </c>
      <c r="R559" s="46" t="n">
        <v>-32.6718</v>
      </c>
      <c r="S559" s="47">
        <f>IF($I559="Yes",$O559,"")</f>
        <v/>
      </c>
    </row>
    <row r="560">
      <c r="A560" s="48" t="inlineStr">
        <is>
          <t>WAB</t>
        </is>
      </c>
      <c r="B560" s="49" t="inlineStr">
        <is>
          <t>Westinghouse Air Brake Technologies Corporation</t>
        </is>
      </c>
      <c r="C560" s="49" t="inlineStr">
        <is>
          <t>US</t>
        </is>
      </c>
      <c r="D560" s="49" t="inlineStr">
        <is>
          <t>S&amp;P 500</t>
        </is>
      </c>
      <c r="E560" s="49" t="inlineStr">
        <is>
          <t>Industrials</t>
        </is>
      </c>
      <c r="F560" s="50" t="n">
        <v>50764468224</v>
      </c>
      <c r="G560" s="49" t="inlineStr">
        <is>
          <t>nightly refresh</t>
        </is>
      </c>
      <c r="H560" s="48" t="n">
        <v>235</v>
      </c>
      <c r="I560" s="49" t="inlineStr">
        <is>
          <t>No</t>
        </is>
      </c>
      <c r="J560" s="49" t="inlineStr">
        <is>
          <t>1995-06-16</t>
        </is>
      </c>
      <c r="K560" s="48" t="n">
        <v>6701</v>
      </c>
      <c r="L560" s="49" t="inlineStr">
        <is>
          <t>2000-01-03</t>
        </is>
      </c>
      <c r="M560" s="49" t="inlineStr">
        <is>
          <t>2026-08-25</t>
        </is>
      </c>
      <c r="N560" s="48" t="n">
        <v>355</v>
      </c>
      <c r="O560" s="51" t="n">
        <v>-18.1413</v>
      </c>
      <c r="P560" s="51" t="n">
        <v>-61.5246</v>
      </c>
      <c r="Q560" s="51" t="n">
        <v>48.624</v>
      </c>
      <c r="R560" s="51" t="n">
        <v>-3.0634</v>
      </c>
      <c r="S560" s="52">
        <f>IF($I560="Yes",$O560,"")</f>
        <v/>
      </c>
    </row>
    <row r="561">
      <c r="A561" s="43" t="inlineStr">
        <is>
          <t>WM</t>
        </is>
      </c>
      <c r="B561" s="44" t="inlineStr">
        <is>
          <t>Waste Management, Inc.</t>
        </is>
      </c>
      <c r="C561" s="44" t="inlineStr">
        <is>
          <t>US</t>
        </is>
      </c>
      <c r="D561" s="44" t="inlineStr">
        <is>
          <t>S&amp;P 500</t>
        </is>
      </c>
      <c r="E561" s="44" t="inlineStr">
        <is>
          <t>Industrials</t>
        </is>
      </c>
      <c r="F561" s="45" t="n">
        <v>88432992256</v>
      </c>
      <c r="G561" s="44" t="inlineStr">
        <is>
          <t>nightly refresh</t>
        </is>
      </c>
      <c r="H561" s="43" t="n">
        <v>147</v>
      </c>
      <c r="I561" s="44" t="inlineStr">
        <is>
          <t>No</t>
        </is>
      </c>
      <c r="J561" s="44" t="inlineStr">
        <is>
          <t>1988-06-22</t>
        </is>
      </c>
      <c r="K561" s="43" t="n">
        <v>6701</v>
      </c>
      <c r="L561" s="44" t="inlineStr">
        <is>
          <t>2000-01-03</t>
        </is>
      </c>
      <c r="M561" s="44" t="inlineStr">
        <is>
          <t>2026-08-25</t>
        </is>
      </c>
      <c r="N561" s="43" t="n">
        <v>285</v>
      </c>
      <c r="O561" s="46" t="n">
        <v>-13.5057</v>
      </c>
      <c r="P561" s="46" t="n">
        <v>-41.7151</v>
      </c>
      <c r="Q561" s="46" t="n">
        <v>31.0236</v>
      </c>
      <c r="R561" s="46" t="n">
        <v>-10.1234</v>
      </c>
      <c r="S561" s="47">
        <f>IF($I561="Yes",$O561,"")</f>
        <v/>
      </c>
    </row>
    <row r="562">
      <c r="A562" s="48" t="inlineStr">
        <is>
          <t>XYL</t>
        </is>
      </c>
      <c r="B562" s="49" t="inlineStr">
        <is>
          <t>Xylem Inc.</t>
        </is>
      </c>
      <c r="C562" s="49" t="inlineStr">
        <is>
          <t>US</t>
        </is>
      </c>
      <c r="D562" s="49" t="inlineStr">
        <is>
          <t>S&amp;P 500</t>
        </is>
      </c>
      <c r="E562" s="49" t="inlineStr">
        <is>
          <t>Industrials</t>
        </is>
      </c>
      <c r="F562" s="50" t="n">
        <v>26482073600</v>
      </c>
      <c r="G562" s="49" t="inlineStr">
        <is>
          <t>nightly refresh</t>
        </is>
      </c>
      <c r="H562" s="48" t="n">
        <v>346</v>
      </c>
      <c r="I562" s="49" t="inlineStr">
        <is>
          <t>No</t>
        </is>
      </c>
      <c r="J562" s="49" t="inlineStr">
        <is>
          <t>2011-10-13</t>
        </is>
      </c>
      <c r="K562" s="48" t="n">
        <v>3737</v>
      </c>
      <c r="L562" s="49" t="inlineStr">
        <is>
          <t>2011-10-13</t>
        </is>
      </c>
      <c r="M562" s="49" t="inlineStr">
        <is>
          <t>2026-08-25</t>
        </is>
      </c>
      <c r="N562" s="48" t="n">
        <v>187</v>
      </c>
      <c r="O562" s="51" t="n">
        <v>-14.8222</v>
      </c>
      <c r="P562" s="51" t="n">
        <v>-46.9812</v>
      </c>
      <c r="Q562" s="51" t="n">
        <v>38.116</v>
      </c>
      <c r="R562" s="51" t="n">
        <v>-26.131</v>
      </c>
      <c r="S562" s="52">
        <f>IF($I562="Yes",$O562,"")</f>
        <v/>
      </c>
    </row>
    <row r="563">
      <c r="A563" s="43" t="inlineStr">
        <is>
          <t>AMT</t>
        </is>
      </c>
      <c r="B563" s="44" t="inlineStr">
        <is>
          <t>American Tower Corporation</t>
        </is>
      </c>
      <c r="C563" s="44" t="inlineStr">
        <is>
          <t>US</t>
        </is>
      </c>
      <c r="D563" s="44" t="inlineStr">
        <is>
          <t>S&amp;P 500</t>
        </is>
      </c>
      <c r="E563" s="44" t="inlineStr">
        <is>
          <t>Real Estate</t>
        </is>
      </c>
      <c r="F563" s="45" t="n">
        <v>81883160576</v>
      </c>
      <c r="G563" s="44" t="inlineStr">
        <is>
          <t>nightly refresh</t>
        </is>
      </c>
      <c r="H563" s="43" t="n">
        <v>157</v>
      </c>
      <c r="I563" s="44" t="inlineStr">
        <is>
          <t>No</t>
        </is>
      </c>
      <c r="J563" s="44" t="inlineStr">
        <is>
          <t>1998-02-27</t>
        </is>
      </c>
      <c r="K563" s="43" t="n">
        <v>6701</v>
      </c>
      <c r="L563" s="44" t="inlineStr">
        <is>
          <t>2000-01-03</t>
        </is>
      </c>
      <c r="M563" s="44" t="inlineStr">
        <is>
          <t>2026-08-25</t>
        </is>
      </c>
      <c r="N563" s="43" t="n">
        <v>348</v>
      </c>
      <c r="O563" s="46" t="n">
        <v>-20.7191</v>
      </c>
      <c r="P563" s="46" t="n">
        <v>-95.6442</v>
      </c>
      <c r="Q563" s="46" t="n">
        <v>92.1665</v>
      </c>
      <c r="R563" s="46" t="n">
        <v>-12.482</v>
      </c>
      <c r="S563" s="47">
        <f>IF($I563="Yes",$O563,"")</f>
        <v/>
      </c>
    </row>
    <row r="564">
      <c r="A564" s="48" t="inlineStr">
        <is>
          <t>ARE</t>
        </is>
      </c>
      <c r="B564" s="49" t="inlineStr">
        <is>
          <t>Alexandria Real Estate Equities, Inc.</t>
        </is>
      </c>
      <c r="C564" s="49" t="inlineStr">
        <is>
          <t>US</t>
        </is>
      </c>
      <c r="D564" s="49" t="inlineStr">
        <is>
          <t>S&amp;P 500</t>
        </is>
      </c>
      <c r="E564" s="49" t="inlineStr">
        <is>
          <t>Real Estate</t>
        </is>
      </c>
      <c r="F564" s="50" t="n">
        <v>9115887616</v>
      </c>
      <c r="G564" s="49" t="inlineStr">
        <is>
          <t>nightly refresh</t>
        </is>
      </c>
      <c r="H564" s="48" t="n">
        <v>494</v>
      </c>
      <c r="I564" s="49" t="inlineStr">
        <is>
          <t>No</t>
        </is>
      </c>
      <c r="J564" s="49" t="inlineStr">
        <is>
          <t>1997-05-28</t>
        </is>
      </c>
      <c r="K564" s="48" t="n">
        <v>6701</v>
      </c>
      <c r="L564" s="49" t="inlineStr">
        <is>
          <t>2000-01-03</t>
        </is>
      </c>
      <c r="M564" s="49" t="inlineStr">
        <is>
          <t>2026-08-25</t>
        </is>
      </c>
      <c r="N564" s="48" t="n">
        <v>310</v>
      </c>
      <c r="O564" s="51" t="n">
        <v>-19.0404</v>
      </c>
      <c r="P564" s="51" t="n">
        <v>-72.4659</v>
      </c>
      <c r="Q564" s="51" t="n">
        <v>35.7386</v>
      </c>
      <c r="R564" s="51" t="n">
        <v>-37.2216</v>
      </c>
      <c r="S564" s="52">
        <f>IF($I564="Yes",$O564,"")</f>
        <v/>
      </c>
    </row>
    <row r="565">
      <c r="A565" s="43" t="inlineStr">
        <is>
          <t>BXP</t>
        </is>
      </c>
      <c r="B565" s="44" t="inlineStr">
        <is>
          <t>BXP, Inc.</t>
        </is>
      </c>
      <c r="C565" s="44" t="inlineStr">
        <is>
          <t>US</t>
        </is>
      </c>
      <c r="D565" s="44" t="inlineStr">
        <is>
          <t>S&amp;P 500</t>
        </is>
      </c>
      <c r="E565" s="44" t="inlineStr">
        <is>
          <t>Real Estate</t>
        </is>
      </c>
      <c r="F565" s="45" t="n">
        <v>12715683840</v>
      </c>
      <c r="G565" s="44" t="inlineStr">
        <is>
          <t>nightly refresh</t>
        </is>
      </c>
      <c r="H565" s="43" t="n">
        <v>467</v>
      </c>
      <c r="I565" s="44" t="inlineStr">
        <is>
          <t>No</t>
        </is>
      </c>
      <c r="J565" s="44" t="inlineStr">
        <is>
          <t>1997-06-18</t>
        </is>
      </c>
      <c r="K565" s="43" t="n">
        <v>6701</v>
      </c>
      <c r="L565" s="44" t="inlineStr">
        <is>
          <t>2000-01-03</t>
        </is>
      </c>
      <c r="M565" s="44" t="inlineStr">
        <is>
          <t>2026-08-25</t>
        </is>
      </c>
      <c r="N565" s="43" t="n">
        <v>350</v>
      </c>
      <c r="O565" s="46" t="n">
        <v>-18.2052</v>
      </c>
      <c r="P565" s="46" t="n">
        <v>-69.631</v>
      </c>
      <c r="Q565" s="46" t="n">
        <v>38.3106</v>
      </c>
      <c r="R565" s="46" t="n">
        <v>-6.0172</v>
      </c>
      <c r="S565" s="47">
        <f>IF($I565="Yes",$O565,"")</f>
        <v/>
      </c>
    </row>
    <row r="566">
      <c r="A566" s="48" t="inlineStr">
        <is>
          <t>CBRE</t>
        </is>
      </c>
      <c r="B566" s="49" t="inlineStr">
        <is>
          <t>CBRE Group, Inc.</t>
        </is>
      </c>
      <c r="C566" s="49" t="inlineStr">
        <is>
          <t>US</t>
        </is>
      </c>
      <c r="D566" s="49" t="inlineStr">
        <is>
          <t>S&amp;P 500</t>
        </is>
      </c>
      <c r="E566" s="49" t="inlineStr">
        <is>
          <t>Real Estate</t>
        </is>
      </c>
      <c r="F566" s="50" t="n">
        <v>43540541440</v>
      </c>
      <c r="G566" s="49" t="inlineStr">
        <is>
          <t>nightly refresh</t>
        </is>
      </c>
      <c r="H566" s="48" t="n">
        <v>261</v>
      </c>
      <c r="I566" s="49" t="inlineStr">
        <is>
          <t>No</t>
        </is>
      </c>
      <c r="J566" s="49" t="inlineStr">
        <is>
          <t>2004-06-10</t>
        </is>
      </c>
      <c r="K566" s="48" t="n">
        <v>5587</v>
      </c>
      <c r="L566" s="49" t="inlineStr">
        <is>
          <t>2004-06-10</t>
        </is>
      </c>
      <c r="M566" s="49" t="inlineStr">
        <is>
          <t>2026-08-25</t>
        </is>
      </c>
      <c r="N566" s="48" t="n">
        <v>285</v>
      </c>
      <c r="O566" s="51" t="n">
        <v>-22.9228</v>
      </c>
      <c r="P566" s="51" t="n">
        <v>-90.3673</v>
      </c>
      <c r="Q566" s="51" t="n">
        <v>71.6082</v>
      </c>
      <c r="R566" s="51" t="n">
        <v>-12.9282</v>
      </c>
      <c r="S566" s="52">
        <f>IF($I566="Yes",$O566,"")</f>
        <v/>
      </c>
    </row>
    <row r="567">
      <c r="A567" s="43" t="inlineStr">
        <is>
          <t>CCI</t>
        </is>
      </c>
      <c r="B567" s="44" t="inlineStr">
        <is>
          <t>Crown Castle Inc.</t>
        </is>
      </c>
      <c r="C567" s="44" t="inlineStr">
        <is>
          <t>US</t>
        </is>
      </c>
      <c r="D567" s="44" t="inlineStr">
        <is>
          <t>S&amp;P 500</t>
        </is>
      </c>
      <c r="E567" s="44" t="inlineStr">
        <is>
          <t>Real Estate</t>
        </is>
      </c>
      <c r="F567" s="45" t="n">
        <v>33010980864</v>
      </c>
      <c r="G567" s="44" t="inlineStr">
        <is>
          <t>nightly refresh</t>
        </is>
      </c>
      <c r="H567" s="43" t="n">
        <v>306</v>
      </c>
      <c r="I567" s="44" t="inlineStr">
        <is>
          <t>No</t>
        </is>
      </c>
      <c r="J567" s="44" t="inlineStr">
        <is>
          <t>1998-08-18</t>
        </is>
      </c>
      <c r="K567" s="43" t="n">
        <v>6701</v>
      </c>
      <c r="L567" s="44" t="inlineStr">
        <is>
          <t>2000-01-03</t>
        </is>
      </c>
      <c r="M567" s="44" t="inlineStr">
        <is>
          <t>2026-08-25</t>
        </is>
      </c>
      <c r="N567" s="43" t="n">
        <v>361</v>
      </c>
      <c r="O567" s="46" t="n">
        <v>-21.04</v>
      </c>
      <c r="P567" s="46" t="n">
        <v>-91.587</v>
      </c>
      <c r="Q567" s="46" t="n">
        <v>67.0305</v>
      </c>
      <c r="R567" s="46" t="n">
        <v>-23.1745</v>
      </c>
      <c r="S567" s="47">
        <f>IF($I567="Yes",$O567,"")</f>
        <v/>
      </c>
    </row>
    <row r="568">
      <c r="A568" s="48" t="inlineStr">
        <is>
          <t>CPT</t>
        </is>
      </c>
      <c r="B568" s="49" t="inlineStr">
        <is>
          <t>Camden Property Trust</t>
        </is>
      </c>
      <c r="C568" s="49" t="inlineStr">
        <is>
          <t>US</t>
        </is>
      </c>
      <c r="D568" s="49" t="inlineStr">
        <is>
          <t>S&amp;P 500</t>
        </is>
      </c>
      <c r="E568" s="49" t="inlineStr">
        <is>
          <t>Real Estate</t>
        </is>
      </c>
      <c r="F568" s="50" t="n">
        <v>12453982208</v>
      </c>
      <c r="G568" s="49" t="inlineStr">
        <is>
          <t>nightly refresh</t>
        </is>
      </c>
      <c r="H568" s="48" t="n">
        <v>469</v>
      </c>
      <c r="I568" s="49" t="inlineStr">
        <is>
          <t>No</t>
        </is>
      </c>
      <c r="J568" s="49" t="inlineStr">
        <is>
          <t>1993-07-22</t>
        </is>
      </c>
      <c r="K568" s="48" t="n">
        <v>6701</v>
      </c>
      <c r="L568" s="49" t="inlineStr">
        <is>
          <t>2000-01-03</t>
        </is>
      </c>
      <c r="M568" s="49" t="inlineStr">
        <is>
          <t>2026-08-25</t>
        </is>
      </c>
      <c r="N568" s="48" t="n">
        <v>290</v>
      </c>
      <c r="O568" s="51" t="n">
        <v>-16.7682</v>
      </c>
      <c r="P568" s="51" t="n">
        <v>-66.72329999999999</v>
      </c>
      <c r="Q568" s="51" t="n">
        <v>38.0135</v>
      </c>
      <c r="R568" s="51" t="n">
        <v>-9.6236</v>
      </c>
      <c r="S568" s="52">
        <f>IF($I568="Yes",$O568,"")</f>
        <v/>
      </c>
    </row>
    <row r="569">
      <c r="A569" s="43" t="inlineStr">
        <is>
          <t>CSGP</t>
        </is>
      </c>
      <c r="B569" s="44" t="inlineStr">
        <is>
          <t>CoStar Group, Inc.</t>
        </is>
      </c>
      <c r="C569" s="44" t="inlineStr">
        <is>
          <t>US</t>
        </is>
      </c>
      <c r="D569" s="44" t="inlineStr">
        <is>
          <t>S&amp;P 500</t>
        </is>
      </c>
      <c r="E569" s="44" t="inlineStr">
        <is>
          <t>Real Estate</t>
        </is>
      </c>
      <c r="F569" s="45" t="n">
        <v>13023050752</v>
      </c>
      <c r="G569" s="44" t="inlineStr">
        <is>
          <t>nightly refresh</t>
        </is>
      </c>
      <c r="H569" s="43" t="n">
        <v>465</v>
      </c>
      <c r="I569" s="44" t="inlineStr">
        <is>
          <t>No</t>
        </is>
      </c>
      <c r="J569" s="44" t="inlineStr">
        <is>
          <t>1998-07-01</t>
        </is>
      </c>
      <c r="K569" s="43" t="n">
        <v>6701</v>
      </c>
      <c r="L569" s="44" t="inlineStr">
        <is>
          <t>2000-01-03</t>
        </is>
      </c>
      <c r="M569" s="44" t="inlineStr">
        <is>
          <t>2026-08-25</t>
        </is>
      </c>
      <c r="N569" s="43" t="n">
        <v>377</v>
      </c>
      <c r="O569" s="46" t="n">
        <v>-22.9317</v>
      </c>
      <c r="P569" s="46" t="n">
        <v>-72.14409999999999</v>
      </c>
      <c r="Q569" s="46" t="n">
        <v>51.0907</v>
      </c>
      <c r="R569" s="46" t="n">
        <v>-64.29430000000001</v>
      </c>
      <c r="S569" s="47">
        <f>IF($I569="Yes",$O569,"")</f>
        <v/>
      </c>
    </row>
    <row r="570">
      <c r="A570" s="48" t="inlineStr">
        <is>
          <t>DLR</t>
        </is>
      </c>
      <c r="B570" s="49" t="inlineStr">
        <is>
          <t>Digital Realty Trust, Inc.</t>
        </is>
      </c>
      <c r="C570" s="49" t="inlineStr">
        <is>
          <t>US</t>
        </is>
      </c>
      <c r="D570" s="49" t="inlineStr">
        <is>
          <t>S&amp;P 500</t>
        </is>
      </c>
      <c r="E570" s="49" t="inlineStr">
        <is>
          <t>Real Estate</t>
        </is>
      </c>
      <c r="F570" s="50" t="n">
        <v>73051488256</v>
      </c>
      <c r="G570" s="49" t="inlineStr">
        <is>
          <t>nightly refresh</t>
        </is>
      </c>
      <c r="H570" s="48" t="n">
        <v>181</v>
      </c>
      <c r="I570" s="49" t="inlineStr">
        <is>
          <t>No</t>
        </is>
      </c>
      <c r="J570" s="49" t="inlineStr">
        <is>
          <t>2004-10-29</t>
        </is>
      </c>
      <c r="K570" s="48" t="n">
        <v>5489</v>
      </c>
      <c r="L570" s="49" t="inlineStr">
        <is>
          <t>2004-10-29</t>
        </is>
      </c>
      <c r="M570" s="49" t="inlineStr">
        <is>
          <t>2026-08-25</t>
        </is>
      </c>
      <c r="N570" s="48" t="n">
        <v>275</v>
      </c>
      <c r="O570" s="51" t="n">
        <v>-16.1046</v>
      </c>
      <c r="P570" s="51" t="n">
        <v>-58.4828</v>
      </c>
      <c r="Q570" s="51" t="n">
        <v>47.1065</v>
      </c>
      <c r="R570" s="51" t="n">
        <v>-7.6006</v>
      </c>
      <c r="S570" s="52">
        <f>IF($I570="Yes",$O570,"")</f>
        <v/>
      </c>
    </row>
    <row r="571">
      <c r="A571" s="43" t="inlineStr">
        <is>
          <t>DOC</t>
        </is>
      </c>
      <c r="B571" s="44" t="inlineStr">
        <is>
          <t>Healthpeak Properties, Inc.</t>
        </is>
      </c>
      <c r="C571" s="44" t="inlineStr">
        <is>
          <t>US</t>
        </is>
      </c>
      <c r="D571" s="44" t="inlineStr">
        <is>
          <t>S&amp;P 500</t>
        </is>
      </c>
      <c r="E571" s="44" t="inlineStr">
        <is>
          <t>Real Estate</t>
        </is>
      </c>
      <c r="F571" s="45" t="n">
        <v>15299082240</v>
      </c>
      <c r="G571" s="44" t="inlineStr">
        <is>
          <t>nightly refresh</t>
        </is>
      </c>
      <c r="H571" s="43" t="n">
        <v>440</v>
      </c>
      <c r="I571" s="44" t="inlineStr">
        <is>
          <t>No</t>
        </is>
      </c>
      <c r="J571" s="44" t="inlineStr">
        <is>
          <t>1985-05-23</t>
        </is>
      </c>
      <c r="K571" s="43" t="n">
        <v>6701</v>
      </c>
      <c r="L571" s="44" t="inlineStr">
        <is>
          <t>2000-01-03</t>
        </is>
      </c>
      <c r="M571" s="44" t="inlineStr">
        <is>
          <t>2026-08-25</t>
        </is>
      </c>
      <c r="N571" s="43" t="n">
        <v>305</v>
      </c>
      <c r="O571" s="46" t="n">
        <v>-18.8686</v>
      </c>
      <c r="P571" s="46" t="n">
        <v>-61.8752</v>
      </c>
      <c r="Q571" s="46" t="n">
        <v>38.5543</v>
      </c>
      <c r="R571" s="46" t="n">
        <v>-5.1556</v>
      </c>
      <c r="S571" s="47">
        <f>IF($I571="Yes",$O571,"")</f>
        <v/>
      </c>
    </row>
    <row r="572">
      <c r="A572" s="48" t="inlineStr">
        <is>
          <t>EQIX</t>
        </is>
      </c>
      <c r="B572" s="49" t="inlineStr">
        <is>
          <t>Equinix, Inc.</t>
        </is>
      </c>
      <c r="C572" s="49" t="inlineStr">
        <is>
          <t>US</t>
        </is>
      </c>
      <c r="D572" s="49" t="inlineStr">
        <is>
          <t>S&amp;P 500</t>
        </is>
      </c>
      <c r="E572" s="49" t="inlineStr">
        <is>
          <t>Real Estate</t>
        </is>
      </c>
      <c r="F572" s="50" t="n">
        <v>106526941184</v>
      </c>
      <c r="G572" s="49" t="inlineStr">
        <is>
          <t>nightly refresh</t>
        </is>
      </c>
      <c r="H572" s="48" t="n">
        <v>115</v>
      </c>
      <c r="I572" s="49" t="inlineStr">
        <is>
          <t>No</t>
        </is>
      </c>
      <c r="J572" s="49" t="inlineStr">
        <is>
          <t>2000-08-11</t>
        </is>
      </c>
      <c r="K572" s="48" t="n">
        <v>6547</v>
      </c>
      <c r="L572" s="49" t="inlineStr">
        <is>
          <t>2000-08-11</t>
        </is>
      </c>
      <c r="M572" s="49" t="inlineStr">
        <is>
          <t>2026-08-25</t>
        </is>
      </c>
      <c r="N572" s="48" t="n">
        <v>340</v>
      </c>
      <c r="O572" s="51" t="n">
        <v>-22.7925</v>
      </c>
      <c r="P572" s="51" t="n">
        <v>-96.67919999999999</v>
      </c>
      <c r="Q572" s="51" t="n">
        <v>96.0736</v>
      </c>
      <c r="R572" s="51" t="n">
        <v>-4.4982</v>
      </c>
      <c r="S572" s="52">
        <f>IF($I572="Yes",$O572,"")</f>
        <v/>
      </c>
    </row>
    <row r="573">
      <c r="A573" s="43" t="inlineStr">
        <is>
          <t>ESS</t>
        </is>
      </c>
      <c r="B573" s="44" t="inlineStr">
        <is>
          <t>Essex Property Trust, Inc.</t>
        </is>
      </c>
      <c r="C573" s="44" t="inlineStr">
        <is>
          <t>US</t>
        </is>
      </c>
      <c r="D573" s="44" t="inlineStr">
        <is>
          <t>S&amp;P 500</t>
        </is>
      </c>
      <c r="E573" s="44" t="inlineStr">
        <is>
          <t>Real Estate</t>
        </is>
      </c>
      <c r="F573" s="45" t="n">
        <v>19864391680</v>
      </c>
      <c r="G573" s="44" t="inlineStr">
        <is>
          <t>nightly refresh</t>
        </is>
      </c>
      <c r="H573" s="43" t="n">
        <v>404</v>
      </c>
      <c r="I573" s="44" t="inlineStr">
        <is>
          <t>No</t>
        </is>
      </c>
      <c r="J573" s="44" t="inlineStr">
        <is>
          <t>1994-06-07</t>
        </is>
      </c>
      <c r="K573" s="43" t="n">
        <v>6701</v>
      </c>
      <c r="L573" s="44" t="inlineStr">
        <is>
          <t>2000-01-03</t>
        </is>
      </c>
      <c r="M573" s="44" t="inlineStr">
        <is>
          <t>2026-08-25</t>
        </is>
      </c>
      <c r="N573" s="43" t="n">
        <v>307</v>
      </c>
      <c r="O573" s="46" t="n">
        <v>-16.6501</v>
      </c>
      <c r="P573" s="46" t="n">
        <v>-59.908</v>
      </c>
      <c r="Q573" s="46" t="n">
        <v>35.7017</v>
      </c>
      <c r="R573" s="46" t="n">
        <v>-3.7416</v>
      </c>
      <c r="S573" s="47">
        <f>IF($I573="Yes",$O573,"")</f>
        <v/>
      </c>
    </row>
    <row r="574">
      <c r="A574" s="48" t="inlineStr">
        <is>
          <t>EXR</t>
        </is>
      </c>
      <c r="B574" s="49" t="inlineStr">
        <is>
          <t>Extra Space Storage Inc.</t>
        </is>
      </c>
      <c r="C574" s="49" t="inlineStr">
        <is>
          <t>US</t>
        </is>
      </c>
      <c r="D574" s="49" t="inlineStr">
        <is>
          <t>S&amp;P 500</t>
        </is>
      </c>
      <c r="E574" s="49" t="inlineStr">
        <is>
          <t>Real Estate</t>
        </is>
      </c>
      <c r="F574" s="50" t="n">
        <v>31801028608</v>
      </c>
      <c r="G574" s="49" t="inlineStr">
        <is>
          <t>nightly refresh</t>
        </is>
      </c>
      <c r="H574" s="48" t="n">
        <v>313</v>
      </c>
      <c r="I574" s="49" t="inlineStr">
        <is>
          <t>No</t>
        </is>
      </c>
      <c r="J574" s="49" t="inlineStr">
        <is>
          <t>2004-08-16</t>
        </is>
      </c>
      <c r="K574" s="48" t="n">
        <v>5542</v>
      </c>
      <c r="L574" s="49" t="inlineStr">
        <is>
          <t>2004-08-16</t>
        </is>
      </c>
      <c r="M574" s="49" t="inlineStr">
        <is>
          <t>2026-08-25</t>
        </is>
      </c>
      <c r="N574" s="48" t="n">
        <v>269</v>
      </c>
      <c r="O574" s="51" t="n">
        <v>-16.6323</v>
      </c>
      <c r="P574" s="51" t="n">
        <v>-70.29219999999999</v>
      </c>
      <c r="Q574" s="51" t="n">
        <v>46.4438</v>
      </c>
      <c r="R574" s="51" t="n">
        <v>-8.818</v>
      </c>
      <c r="S574" s="52">
        <f>IF($I574="Yes",$O574,"")</f>
        <v/>
      </c>
    </row>
    <row r="575">
      <c r="A575" s="43" t="inlineStr">
        <is>
          <t>FRT</t>
        </is>
      </c>
      <c r="B575" s="44" t="inlineStr">
        <is>
          <t>Federal Realty Investment Trust</t>
        </is>
      </c>
      <c r="C575" s="44" t="inlineStr">
        <is>
          <t>US</t>
        </is>
      </c>
      <c r="D575" s="44" t="inlineStr">
        <is>
          <t>S&amp;P 500</t>
        </is>
      </c>
      <c r="E575" s="44" t="inlineStr">
        <is>
          <t>Real Estate</t>
        </is>
      </c>
      <c r="F575" s="45" t="n">
        <v>10278647808</v>
      </c>
      <c r="G575" s="44" t="inlineStr">
        <is>
          <t>nightly refresh</t>
        </is>
      </c>
      <c r="H575" s="43" t="n">
        <v>487</v>
      </c>
      <c r="I575" s="44" t="inlineStr">
        <is>
          <t>No</t>
        </is>
      </c>
      <c r="J575" s="44" t="inlineStr">
        <is>
          <t>1973-05-03</t>
        </is>
      </c>
      <c r="K575" s="43" t="n">
        <v>6701</v>
      </c>
      <c r="L575" s="44" t="inlineStr">
        <is>
          <t>2000-01-03</t>
        </is>
      </c>
      <c r="M575" s="44" t="inlineStr">
        <is>
          <t>2026-08-25</t>
        </is>
      </c>
      <c r="N575" s="43" t="n">
        <v>305</v>
      </c>
      <c r="O575" s="46" t="n">
        <v>-16.046</v>
      </c>
      <c r="P575" s="46" t="n">
        <v>-58.6699</v>
      </c>
      <c r="Q575" s="46" t="n">
        <v>34.6336</v>
      </c>
      <c r="R575" s="46" t="n">
        <v>-8.1585</v>
      </c>
      <c r="S575" s="47">
        <f>IF($I575="Yes",$O575,"")</f>
        <v/>
      </c>
    </row>
    <row r="576">
      <c r="A576" s="48" t="inlineStr">
        <is>
          <t>HST</t>
        </is>
      </c>
      <c r="B576" s="49" t="inlineStr">
        <is>
          <t>Host Hotels &amp; Resorts, Inc.</t>
        </is>
      </c>
      <c r="C576" s="49" t="inlineStr">
        <is>
          <t>US</t>
        </is>
      </c>
      <c r="D576" s="49" t="inlineStr">
        <is>
          <t>S&amp;P 500</t>
        </is>
      </c>
      <c r="E576" s="49" t="inlineStr">
        <is>
          <t>Real Estate</t>
        </is>
      </c>
      <c r="F576" s="50" t="n">
        <v>15582714880</v>
      </c>
      <c r="G576" s="49" t="inlineStr">
        <is>
          <t>nightly refresh</t>
        </is>
      </c>
      <c r="H576" s="48" t="n">
        <v>437</v>
      </c>
      <c r="I576" s="49" t="inlineStr">
        <is>
          <t>No</t>
        </is>
      </c>
      <c r="J576" s="49" t="inlineStr">
        <is>
          <t>1980-03-17</t>
        </is>
      </c>
      <c r="K576" s="48" t="n">
        <v>6701</v>
      </c>
      <c r="L576" s="49" t="inlineStr">
        <is>
          <t>2000-01-03</t>
        </is>
      </c>
      <c r="M576" s="49" t="inlineStr">
        <is>
          <t>2026-08-25</t>
        </is>
      </c>
      <c r="N576" s="48" t="n">
        <v>360</v>
      </c>
      <c r="O576" s="51" t="n">
        <v>-20.5083</v>
      </c>
      <c r="P576" s="51" t="n">
        <v>-81.2788</v>
      </c>
      <c r="Q576" s="51" t="n">
        <v>51.2821</v>
      </c>
      <c r="R576" s="51" t="n">
        <v>-10.5406</v>
      </c>
      <c r="S576" s="52">
        <f>IF($I576="Yes",$O576,"")</f>
        <v/>
      </c>
    </row>
    <row r="577">
      <c r="A577" s="43" t="inlineStr">
        <is>
          <t>INVH</t>
        </is>
      </c>
      <c r="B577" s="44" t="inlineStr">
        <is>
          <t>Invitation Homes Inc.</t>
        </is>
      </c>
      <c r="C577" s="44" t="inlineStr">
        <is>
          <t>US</t>
        </is>
      </c>
      <c r="D577" s="44" t="inlineStr">
        <is>
          <t>S&amp;P 500</t>
        </is>
      </c>
      <c r="E577" s="44" t="inlineStr">
        <is>
          <t>Real Estate</t>
        </is>
      </c>
      <c r="F577" s="45" t="n">
        <v>17755914240</v>
      </c>
      <c r="G577" s="44" t="inlineStr">
        <is>
          <t>nightly refresh</t>
        </is>
      </c>
      <c r="H577" s="43" t="n">
        <v>419</v>
      </c>
      <c r="I577" s="44" t="inlineStr">
        <is>
          <t>No</t>
        </is>
      </c>
      <c r="J577" s="44" t="inlineStr">
        <is>
          <t>2017-02-01</t>
        </is>
      </c>
      <c r="K577" s="43" t="n">
        <v>2404</v>
      </c>
      <c r="L577" s="44" t="inlineStr">
        <is>
          <t>2017-02-01</t>
        </is>
      </c>
      <c r="M577" s="44" t="inlineStr">
        <is>
          <t>2026-08-25</t>
        </is>
      </c>
      <c r="N577" s="43" t="n">
        <v>118</v>
      </c>
      <c r="O577" s="46" t="n">
        <v>-15.6797</v>
      </c>
      <c r="P577" s="46" t="n">
        <v>-50.6728</v>
      </c>
      <c r="Q577" s="46" t="n">
        <v>33.4936</v>
      </c>
      <c r="R577" s="46" t="n">
        <v>-2.2109</v>
      </c>
      <c r="S577" s="47">
        <f>IF($I577="Yes",$O577,"")</f>
        <v/>
      </c>
    </row>
    <row r="578">
      <c r="A578" s="48" t="inlineStr">
        <is>
          <t>IRM</t>
        </is>
      </c>
      <c r="B578" s="49" t="inlineStr">
        <is>
          <t>Iron Mountain Incorporated</t>
        </is>
      </c>
      <c r="C578" s="49" t="inlineStr">
        <is>
          <t>US</t>
        </is>
      </c>
      <c r="D578" s="49" t="inlineStr">
        <is>
          <t>S&amp;P 500</t>
        </is>
      </c>
      <c r="E578" s="49" t="inlineStr">
        <is>
          <t>Real Estate</t>
        </is>
      </c>
      <c r="F578" s="50" t="n">
        <v>36150054912</v>
      </c>
      <c r="G578" s="49" t="inlineStr">
        <is>
          <t>nightly refresh</t>
        </is>
      </c>
      <c r="H578" s="48" t="n">
        <v>289</v>
      </c>
      <c r="I578" s="49" t="inlineStr">
        <is>
          <t>No</t>
        </is>
      </c>
      <c r="J578" s="49" t="inlineStr">
        <is>
          <t>1996-02-01</t>
        </is>
      </c>
      <c r="K578" s="48" t="n">
        <v>6701</v>
      </c>
      <c r="L578" s="49" t="inlineStr">
        <is>
          <t>2000-01-03</t>
        </is>
      </c>
      <c r="M578" s="49" t="inlineStr">
        <is>
          <t>2026-08-25</t>
        </is>
      </c>
      <c r="N578" s="48" t="n">
        <v>334</v>
      </c>
      <c r="O578" s="51" t="n">
        <v>-17.1262</v>
      </c>
      <c r="P578" s="51" t="n">
        <v>-54.5946</v>
      </c>
      <c r="Q578" s="51" t="n">
        <v>41.7473</v>
      </c>
      <c r="R578" s="51" t="n">
        <v>-10.2317</v>
      </c>
      <c r="S578" s="52">
        <f>IF($I578="Yes",$O578,"")</f>
        <v/>
      </c>
    </row>
    <row r="579">
      <c r="A579" s="43" t="inlineStr">
        <is>
          <t>KIM</t>
        </is>
      </c>
      <c r="B579" s="44" t="inlineStr">
        <is>
          <t>Kimco Realty Corporation</t>
        </is>
      </c>
      <c r="C579" s="44" t="inlineStr">
        <is>
          <t>US</t>
        </is>
      </c>
      <c r="D579" s="44" t="inlineStr">
        <is>
          <t>S&amp;P 500</t>
        </is>
      </c>
      <c r="E579" s="44" t="inlineStr">
        <is>
          <t>Real Estate</t>
        </is>
      </c>
      <c r="F579" s="45" t="n">
        <v>16119068672</v>
      </c>
      <c r="G579" s="44" t="inlineStr">
        <is>
          <t>nightly refresh</t>
        </is>
      </c>
      <c r="H579" s="43" t="n">
        <v>434</v>
      </c>
      <c r="I579" s="44" t="inlineStr">
        <is>
          <t>No</t>
        </is>
      </c>
      <c r="J579" s="44" t="inlineStr">
        <is>
          <t>1991-11-22</t>
        </is>
      </c>
      <c r="K579" s="43" t="n">
        <v>6701</v>
      </c>
      <c r="L579" s="44" t="inlineStr">
        <is>
          <t>2000-01-03</t>
        </is>
      </c>
      <c r="M579" s="44" t="inlineStr">
        <is>
          <t>2026-08-25</t>
        </is>
      </c>
      <c r="N579" s="43" t="n">
        <v>306</v>
      </c>
      <c r="O579" s="46" t="n">
        <v>-20.0083</v>
      </c>
      <c r="P579" s="46" t="n">
        <v>-84.86790000000001</v>
      </c>
      <c r="Q579" s="46" t="n">
        <v>43.7399</v>
      </c>
      <c r="R579" s="46" t="n">
        <v>-9.7186</v>
      </c>
      <c r="S579" s="47">
        <f>IF($I579="Yes",$O579,"")</f>
        <v/>
      </c>
    </row>
    <row r="580">
      <c r="A580" s="48" t="inlineStr">
        <is>
          <t>MAA</t>
        </is>
      </c>
      <c r="B580" s="49" t="inlineStr">
        <is>
          <t>Mid-America Apartment Communities, Inc.</t>
        </is>
      </c>
      <c r="C580" s="49" t="inlineStr">
        <is>
          <t>US</t>
        </is>
      </c>
      <c r="D580" s="49" t="inlineStr">
        <is>
          <t>S&amp;P 500</t>
        </is>
      </c>
      <c r="E580" s="49" t="inlineStr">
        <is>
          <t>Real Estate</t>
        </is>
      </c>
      <c r="F580" s="50" t="n">
        <v>15643739136</v>
      </c>
      <c r="G580" s="49" t="inlineStr">
        <is>
          <t>nightly refresh</t>
        </is>
      </c>
      <c r="H580" s="48" t="n">
        <v>436</v>
      </c>
      <c r="I580" s="49" t="inlineStr">
        <is>
          <t>No</t>
        </is>
      </c>
      <c r="J580" s="49" t="inlineStr">
        <is>
          <t>1994-01-28</t>
        </is>
      </c>
      <c r="K580" s="48" t="n">
        <v>6701</v>
      </c>
      <c r="L580" s="49" t="inlineStr">
        <is>
          <t>2000-01-03</t>
        </is>
      </c>
      <c r="M580" s="49" t="inlineStr">
        <is>
          <t>2026-08-25</t>
        </is>
      </c>
      <c r="N580" s="48" t="n">
        <v>296</v>
      </c>
      <c r="O580" s="51" t="n">
        <v>-15.8629</v>
      </c>
      <c r="P580" s="51" t="n">
        <v>-60.6616</v>
      </c>
      <c r="Q580" s="51" t="n">
        <v>35.9217</v>
      </c>
      <c r="R580" s="51" t="n">
        <v>-7.5493</v>
      </c>
      <c r="S580" s="52">
        <f>IF($I580="Yes",$O580,"")</f>
        <v/>
      </c>
    </row>
    <row r="581">
      <c r="A581" s="43" t="inlineStr">
        <is>
          <t>O</t>
        </is>
      </c>
      <c r="B581" s="44" t="inlineStr">
        <is>
          <t>Realty Income Corporation</t>
        </is>
      </c>
      <c r="C581" s="44" t="inlineStr">
        <is>
          <t>US</t>
        </is>
      </c>
      <c r="D581" s="44" t="inlineStr">
        <is>
          <t>S&amp;P 500</t>
        </is>
      </c>
      <c r="E581" s="44" t="inlineStr">
        <is>
          <t>Real Estate</t>
        </is>
      </c>
      <c r="F581" s="45" t="n">
        <v>58911535104</v>
      </c>
      <c r="G581" s="44" t="inlineStr">
        <is>
          <t>nightly refresh</t>
        </is>
      </c>
      <c r="H581" s="43" t="n">
        <v>207</v>
      </c>
      <c r="I581" s="44" t="inlineStr">
        <is>
          <t>No</t>
        </is>
      </c>
      <c r="J581" s="44" t="inlineStr">
        <is>
          <t>1994-10-18</t>
        </is>
      </c>
      <c r="K581" s="43" t="n">
        <v>6701</v>
      </c>
      <c r="L581" s="44" t="inlineStr">
        <is>
          <t>2000-01-03</t>
        </is>
      </c>
      <c r="M581" s="44" t="inlineStr">
        <is>
          <t>2026-08-25</t>
        </is>
      </c>
      <c r="N581" s="43" t="n">
        <v>289</v>
      </c>
      <c r="O581" s="46" t="n">
        <v>-15.7321</v>
      </c>
      <c r="P581" s="46" t="n">
        <v>-55.1618</v>
      </c>
      <c r="Q581" s="46" t="n">
        <v>35.3664</v>
      </c>
      <c r="R581" s="46" t="n">
        <v>-6.2986</v>
      </c>
      <c r="S581" s="47">
        <f>IF($I581="Yes",$O581,"")</f>
        <v/>
      </c>
    </row>
    <row r="582">
      <c r="A582" s="48" t="inlineStr">
        <is>
          <t>PLD</t>
        </is>
      </c>
      <c r="B582" s="49" t="inlineStr">
        <is>
          <t>Prologis, Inc.</t>
        </is>
      </c>
      <c r="C582" s="49" t="inlineStr">
        <is>
          <t>US</t>
        </is>
      </c>
      <c r="D582" s="49" t="inlineStr">
        <is>
          <t>S&amp;P 500</t>
        </is>
      </c>
      <c r="E582" s="49" t="inlineStr">
        <is>
          <t>Real Estate</t>
        </is>
      </c>
      <c r="F582" s="50" t="n">
        <v>138610507776</v>
      </c>
      <c r="G582" s="49" t="inlineStr">
        <is>
          <t>nightly refresh</t>
        </is>
      </c>
      <c r="H582" s="48" t="n">
        <v>90</v>
      </c>
      <c r="I582" s="49" t="inlineStr">
        <is>
          <t>No</t>
        </is>
      </c>
      <c r="J582" s="49" t="inlineStr">
        <is>
          <t>1997-11-21</t>
        </is>
      </c>
      <c r="K582" s="48" t="n">
        <v>6701</v>
      </c>
      <c r="L582" s="49" t="inlineStr">
        <is>
          <t>2000-01-03</t>
        </is>
      </c>
      <c r="M582" s="49" t="inlineStr">
        <is>
          <t>2026-08-25</t>
        </is>
      </c>
      <c r="N582" s="48" t="n">
        <v>301</v>
      </c>
      <c r="O582" s="51" t="n">
        <v>-16.8558</v>
      </c>
      <c r="P582" s="51" t="n">
        <v>-83.54940000000001</v>
      </c>
      <c r="Q582" s="51" t="n">
        <v>45.5463</v>
      </c>
      <c r="R582" s="51" t="n">
        <v>-6.5341</v>
      </c>
      <c r="S582" s="52">
        <f>IF($I582="Yes",$O582,"")</f>
        <v/>
      </c>
    </row>
    <row r="583">
      <c r="A583" s="43" t="inlineStr">
        <is>
          <t>PSA</t>
        </is>
      </c>
      <c r="B583" s="44" t="inlineStr">
        <is>
          <t>Public Storage</t>
        </is>
      </c>
      <c r="C583" s="44" t="inlineStr">
        <is>
          <t>US</t>
        </is>
      </c>
      <c r="D583" s="44" t="inlineStr">
        <is>
          <t>S&amp;P 500</t>
        </is>
      </c>
      <c r="E583" s="44" t="inlineStr">
        <is>
          <t>Real Estate</t>
        </is>
      </c>
      <c r="F583" s="45" t="n">
        <v>59267493888</v>
      </c>
      <c r="G583" s="44" t="inlineStr">
        <is>
          <t>nightly refresh</t>
        </is>
      </c>
      <c r="H583" s="43" t="n">
        <v>206</v>
      </c>
      <c r="I583" s="44" t="inlineStr">
        <is>
          <t>No</t>
        </is>
      </c>
      <c r="J583" s="44" t="inlineStr">
        <is>
          <t>1980-11-18</t>
        </is>
      </c>
      <c r="K583" s="43" t="n">
        <v>6701</v>
      </c>
      <c r="L583" s="44" t="inlineStr">
        <is>
          <t>2000-01-03</t>
        </is>
      </c>
      <c r="M583" s="44" t="inlineStr">
        <is>
          <t>2026-08-25</t>
        </is>
      </c>
      <c r="N583" s="43" t="n">
        <v>294</v>
      </c>
      <c r="O583" s="46" t="n">
        <v>-16.3077</v>
      </c>
      <c r="P583" s="46" t="n">
        <v>-55.5423</v>
      </c>
      <c r="Q583" s="46" t="n">
        <v>35.5731</v>
      </c>
      <c r="R583" s="46" t="n">
        <v>-3.8385</v>
      </c>
      <c r="S583" s="47">
        <f>IF($I583="Yes",$O583,"")</f>
        <v/>
      </c>
    </row>
    <row r="584">
      <c r="A584" s="48" t="inlineStr">
        <is>
          <t>REG</t>
        </is>
      </c>
      <c r="B584" s="49" t="inlineStr">
        <is>
          <t>Regency Centers Corporation</t>
        </is>
      </c>
      <c r="C584" s="49" t="inlineStr">
        <is>
          <t>US</t>
        </is>
      </c>
      <c r="D584" s="49" t="inlineStr">
        <is>
          <t>S&amp;P 500</t>
        </is>
      </c>
      <c r="E584" s="49" t="inlineStr">
        <is>
          <t>Real Estate</t>
        </is>
      </c>
      <c r="F584" s="50" t="n">
        <v>14279907328</v>
      </c>
      <c r="G584" s="49" t="inlineStr">
        <is>
          <t>nightly refresh</t>
        </is>
      </c>
      <c r="H584" s="48" t="n">
        <v>449</v>
      </c>
      <c r="I584" s="49" t="inlineStr">
        <is>
          <t>No</t>
        </is>
      </c>
      <c r="J584" s="49" t="inlineStr">
        <is>
          <t>1993-10-29</t>
        </is>
      </c>
      <c r="K584" s="48" t="n">
        <v>6701</v>
      </c>
      <c r="L584" s="49" t="inlineStr">
        <is>
          <t>2000-01-03</t>
        </is>
      </c>
      <c r="M584" s="49" t="inlineStr">
        <is>
          <t>2026-08-25</t>
        </is>
      </c>
      <c r="N584" s="48" t="n">
        <v>306</v>
      </c>
      <c r="O584" s="51" t="n">
        <v>-17.4077</v>
      </c>
      <c r="P584" s="51" t="n">
        <v>-71.8116</v>
      </c>
      <c r="Q584" s="51" t="n">
        <v>35.7224</v>
      </c>
      <c r="R584" s="51" t="n">
        <v>-8.295500000000001</v>
      </c>
      <c r="S584" s="52">
        <f>IF($I584="Yes",$O584,"")</f>
        <v/>
      </c>
    </row>
    <row r="585">
      <c r="A585" s="43" t="inlineStr">
        <is>
          <t>SBAC</t>
        </is>
      </c>
      <c r="B585" s="44" t="inlineStr">
        <is>
          <t>SBA Communications Corporation</t>
        </is>
      </c>
      <c r="C585" s="44" t="inlineStr">
        <is>
          <t>US</t>
        </is>
      </c>
      <c r="D585" s="44" t="inlineStr">
        <is>
          <t>S&amp;P 500</t>
        </is>
      </c>
      <c r="E585" s="44" t="inlineStr">
        <is>
          <t>Real Estate</t>
        </is>
      </c>
      <c r="F585" s="45" t="n">
        <v>19730266112</v>
      </c>
      <c r="G585" s="44" t="inlineStr">
        <is>
          <t>nightly refresh</t>
        </is>
      </c>
      <c r="H585" s="43" t="n">
        <v>405</v>
      </c>
      <c r="I585" s="44" t="inlineStr">
        <is>
          <t>No</t>
        </is>
      </c>
      <c r="J585" s="44" t="inlineStr">
        <is>
          <t>1999-06-16</t>
        </is>
      </c>
      <c r="K585" s="43" t="n">
        <v>6701</v>
      </c>
      <c r="L585" s="44" t="inlineStr">
        <is>
          <t>2000-01-03</t>
        </is>
      </c>
      <c r="M585" s="44" t="inlineStr">
        <is>
          <t>2026-08-25</t>
        </is>
      </c>
      <c r="N585" s="43" t="n">
        <v>339</v>
      </c>
      <c r="O585" s="46" t="n">
        <v>-22.8984</v>
      </c>
      <c r="P585" s="46" t="n">
        <v>-98.5765</v>
      </c>
      <c r="Q585" s="46" t="n">
        <v>106.5038</v>
      </c>
      <c r="R585" s="46" t="n">
        <v>-15.9075</v>
      </c>
      <c r="S585" s="47">
        <f>IF($I585="Yes",$O585,"")</f>
        <v/>
      </c>
    </row>
    <row r="586">
      <c r="A586" s="48" t="inlineStr">
        <is>
          <t>SPG</t>
        </is>
      </c>
      <c r="B586" s="49" t="inlineStr">
        <is>
          <t>Simon Property Group, Inc.</t>
        </is>
      </c>
      <c r="C586" s="49" t="inlineStr">
        <is>
          <t>US</t>
        </is>
      </c>
      <c r="D586" s="49" t="inlineStr">
        <is>
          <t>S&amp;P 500</t>
        </is>
      </c>
      <c r="E586" s="49" t="inlineStr">
        <is>
          <t>Real Estate</t>
        </is>
      </c>
      <c r="F586" s="50" t="n">
        <v>82420056064</v>
      </c>
      <c r="G586" s="49" t="inlineStr">
        <is>
          <t>nightly refresh</t>
        </is>
      </c>
      <c r="H586" s="48" t="n">
        <v>154</v>
      </c>
      <c r="I586" s="49" t="inlineStr">
        <is>
          <t>No</t>
        </is>
      </c>
      <c r="J586" s="49" t="inlineStr">
        <is>
          <t>1993-12-14</t>
        </is>
      </c>
      <c r="K586" s="48" t="n">
        <v>6701</v>
      </c>
      <c r="L586" s="49" t="inlineStr">
        <is>
          <t>2000-01-03</t>
        </is>
      </c>
      <c r="M586" s="49" t="inlineStr">
        <is>
          <t>2026-08-25</t>
        </is>
      </c>
      <c r="N586" s="48" t="n">
        <v>288</v>
      </c>
      <c r="O586" s="51" t="n">
        <v>-18.8974</v>
      </c>
      <c r="P586" s="51" t="n">
        <v>-75.0681</v>
      </c>
      <c r="Q586" s="51" t="n">
        <v>48.3693</v>
      </c>
      <c r="R586" s="51" t="n">
        <v>-8.180300000000001</v>
      </c>
      <c r="S586" s="52">
        <f>IF($I586="Yes",$O586,"")</f>
        <v/>
      </c>
    </row>
    <row r="587">
      <c r="A587" s="43" t="inlineStr">
        <is>
          <t>UDR</t>
        </is>
      </c>
      <c r="B587" s="44" t="inlineStr">
        <is>
          <t>UDR, Inc.</t>
        </is>
      </c>
      <c r="C587" s="44" t="inlineStr">
        <is>
          <t>US</t>
        </is>
      </c>
      <c r="D587" s="44" t="inlineStr">
        <is>
          <t>S&amp;P 500</t>
        </is>
      </c>
      <c r="E587" s="44" t="inlineStr">
        <is>
          <t>Real Estate</t>
        </is>
      </c>
      <c r="F587" s="45" t="n">
        <v>13934125056</v>
      </c>
      <c r="G587" s="44" t="inlineStr">
        <is>
          <t>nightly refresh</t>
        </is>
      </c>
      <c r="H587" s="43" t="n">
        <v>454</v>
      </c>
      <c r="I587" s="44" t="inlineStr">
        <is>
          <t>No</t>
        </is>
      </c>
      <c r="J587" s="44" t="inlineStr">
        <is>
          <t>1980-03-17</t>
        </is>
      </c>
      <c r="K587" s="43" t="n">
        <v>6701</v>
      </c>
      <c r="L587" s="44" t="inlineStr">
        <is>
          <t>2000-01-03</t>
        </is>
      </c>
      <c r="M587" s="44" t="inlineStr">
        <is>
          <t>2026-08-25</t>
        </is>
      </c>
      <c r="N587" s="43" t="n">
        <v>293</v>
      </c>
      <c r="O587" s="46" t="n">
        <v>-16.2186</v>
      </c>
      <c r="P587" s="46" t="n">
        <v>-72.1554</v>
      </c>
      <c r="Q587" s="46" t="n">
        <v>38.6949</v>
      </c>
      <c r="R587" s="46" t="n">
        <v>-8.793100000000001</v>
      </c>
      <c r="S587" s="47">
        <f>IF($I587="Yes",$O587,"")</f>
        <v/>
      </c>
    </row>
    <row r="588">
      <c r="A588" s="48" t="inlineStr">
        <is>
          <t>VICI</t>
        </is>
      </c>
      <c r="B588" s="49" t="inlineStr">
        <is>
          <t>VICI Properties Inc.</t>
        </is>
      </c>
      <c r="C588" s="49" t="inlineStr">
        <is>
          <t>US</t>
        </is>
      </c>
      <c r="D588" s="49" t="inlineStr">
        <is>
          <t>S&amp;P 500</t>
        </is>
      </c>
      <c r="E588" s="49" t="inlineStr">
        <is>
          <t>Real Estate</t>
        </is>
      </c>
      <c r="F588" s="50" t="n">
        <v>28628015104</v>
      </c>
      <c r="G588" s="49" t="inlineStr">
        <is>
          <t>nightly refresh</t>
        </is>
      </c>
      <c r="H588" s="48" t="n">
        <v>328</v>
      </c>
      <c r="I588" s="49" t="inlineStr">
        <is>
          <t>No</t>
        </is>
      </c>
      <c r="J588" s="49" t="inlineStr">
        <is>
          <t>2018-01-02</t>
        </is>
      </c>
      <c r="K588" s="48" t="n">
        <v>2173</v>
      </c>
      <c r="L588" s="49" t="inlineStr">
        <is>
          <t>2018-01-02</t>
        </is>
      </c>
      <c r="M588" s="49" t="inlineStr">
        <is>
          <t>2026-08-25</t>
        </is>
      </c>
      <c r="N588" s="48" t="n">
        <v>106</v>
      </c>
      <c r="O588" s="51" t="n">
        <v>-14.4512</v>
      </c>
      <c r="P588" s="51" t="n">
        <v>-61.0435</v>
      </c>
      <c r="Q588" s="51" t="n">
        <v>45.7891</v>
      </c>
      <c r="R588" s="51" t="n">
        <v>-18.8282</v>
      </c>
      <c r="S588" s="52">
        <f>IF($I588="Yes",$O588,"")</f>
        <v/>
      </c>
    </row>
    <row r="589">
      <c r="A589" s="43" t="inlineStr">
        <is>
          <t>VTR</t>
        </is>
      </c>
      <c r="B589" s="44" t="inlineStr">
        <is>
          <t>Ventas, Inc.</t>
        </is>
      </c>
      <c r="C589" s="44" t="inlineStr">
        <is>
          <t>US</t>
        </is>
      </c>
      <c r="D589" s="44" t="inlineStr">
        <is>
          <t>S&amp;P 500</t>
        </is>
      </c>
      <c r="E589" s="44" t="inlineStr">
        <is>
          <t>Real Estate</t>
        </is>
      </c>
      <c r="F589" s="45" t="n">
        <v>47960485888</v>
      </c>
      <c r="G589" s="44" t="inlineStr">
        <is>
          <t>nightly refresh</t>
        </is>
      </c>
      <c r="H589" s="43" t="n">
        <v>245</v>
      </c>
      <c r="I589" s="44" t="inlineStr">
        <is>
          <t>No</t>
        </is>
      </c>
      <c r="J589" s="44" t="inlineStr">
        <is>
          <t>1997-05-05</t>
        </is>
      </c>
      <c r="K589" s="43" t="n">
        <v>6701</v>
      </c>
      <c r="L589" s="44" t="inlineStr">
        <is>
          <t>2000-01-03</t>
        </is>
      </c>
      <c r="M589" s="44" t="inlineStr">
        <is>
          <t>2026-08-25</t>
        </is>
      </c>
      <c r="N589" s="43" t="n">
        <v>315</v>
      </c>
      <c r="O589" s="46" t="n">
        <v>-17.733</v>
      </c>
      <c r="P589" s="46" t="n">
        <v>-76.9705</v>
      </c>
      <c r="Q589" s="46" t="n">
        <v>63.729</v>
      </c>
      <c r="R589" s="46" t="n">
        <v>-7.6476</v>
      </c>
      <c r="S589" s="47">
        <f>IF($I589="Yes",$O589,"")</f>
        <v/>
      </c>
    </row>
    <row r="590">
      <c r="A590" s="48" t="inlineStr">
        <is>
          <t>WELL</t>
        </is>
      </c>
      <c r="B590" s="49" t="inlineStr">
        <is>
          <t>Welltower Inc.</t>
        </is>
      </c>
      <c r="C590" s="49" t="inlineStr">
        <is>
          <t>US</t>
        </is>
      </c>
      <c r="D590" s="49" t="inlineStr">
        <is>
          <t>S&amp;P 500</t>
        </is>
      </c>
      <c r="E590" s="49" t="inlineStr">
        <is>
          <t>Real Estate</t>
        </is>
      </c>
      <c r="F590" s="50" t="n">
        <v>174061371392</v>
      </c>
      <c r="G590" s="49" t="inlineStr">
        <is>
          <t>nightly refresh</t>
        </is>
      </c>
      <c r="H590" s="48" t="n">
        <v>75</v>
      </c>
      <c r="I590" s="49" t="inlineStr">
        <is>
          <t>No</t>
        </is>
      </c>
      <c r="J590" s="49" t="inlineStr">
        <is>
          <t>1980-03-19</t>
        </is>
      </c>
      <c r="K590" s="48" t="n">
        <v>6701</v>
      </c>
      <c r="L590" s="49" t="inlineStr">
        <is>
          <t>2000-01-03</t>
        </is>
      </c>
      <c r="M590" s="49" t="inlineStr">
        <is>
          <t>2026-08-25</t>
        </is>
      </c>
      <c r="N590" s="48" t="n">
        <v>298</v>
      </c>
      <c r="O590" s="51" t="n">
        <v>-15.8014</v>
      </c>
      <c r="P590" s="51" t="n">
        <v>-63.6078</v>
      </c>
      <c r="Q590" s="51" t="n">
        <v>47.3294</v>
      </c>
      <c r="R590" s="51" t="n">
        <v>-5.1488</v>
      </c>
      <c r="S590" s="52">
        <f>IF($I590="Yes",$O590,"")</f>
        <v/>
      </c>
    </row>
    <row r="591">
      <c r="A591" s="43" t="inlineStr">
        <is>
          <t>WY</t>
        </is>
      </c>
      <c r="B591" s="44" t="inlineStr">
        <is>
          <t>Weyerhaeuser Company</t>
        </is>
      </c>
      <c r="C591" s="44" t="inlineStr">
        <is>
          <t>US</t>
        </is>
      </c>
      <c r="D591" s="44" t="inlineStr">
        <is>
          <t>S&amp;P 500</t>
        </is>
      </c>
      <c r="E591" s="44" t="inlineStr">
        <is>
          <t>Real Estate</t>
        </is>
      </c>
      <c r="F591" s="45" t="n">
        <v>17355323392</v>
      </c>
      <c r="G591" s="44" t="inlineStr">
        <is>
          <t>nightly refresh</t>
        </is>
      </c>
      <c r="H591" s="43" t="n">
        <v>426</v>
      </c>
      <c r="I591" s="44" t="inlineStr">
        <is>
          <t>No</t>
        </is>
      </c>
      <c r="J591" s="44" t="inlineStr">
        <is>
          <t>1973-05-03</t>
        </is>
      </c>
      <c r="K591" s="43" t="n">
        <v>6701</v>
      </c>
      <c r="L591" s="44" t="inlineStr">
        <is>
          <t>2000-01-03</t>
        </is>
      </c>
      <c r="M591" s="44" t="inlineStr">
        <is>
          <t>2026-08-25</t>
        </is>
      </c>
      <c r="N591" s="43" t="n">
        <v>358</v>
      </c>
      <c r="O591" s="46" t="n">
        <v>-19.794</v>
      </c>
      <c r="P591" s="46" t="n">
        <v>-70.7529</v>
      </c>
      <c r="Q591" s="46" t="n">
        <v>41.3398</v>
      </c>
      <c r="R591" s="46" t="n">
        <v>-10.4398</v>
      </c>
      <c r="S591" s="47">
        <f>IF($I591="Yes",$O591,"")</f>
        <v/>
      </c>
    </row>
    <row r="592">
      <c r="A592" s="48" t="inlineStr">
        <is>
          <t>AAPL</t>
        </is>
      </c>
      <c r="B592" s="49" t="inlineStr">
        <is>
          <t>Apple Inc.</t>
        </is>
      </c>
      <c r="C592" s="49" t="inlineStr">
        <is>
          <t>US</t>
        </is>
      </c>
      <c r="D592" s="49" t="inlineStr">
        <is>
          <t>S&amp;P 500</t>
        </is>
      </c>
      <c r="E592" s="49" t="inlineStr">
        <is>
          <t>Technology</t>
        </is>
      </c>
      <c r="F592" s="50" t="n">
        <v>4574545969152</v>
      </c>
      <c r="G592" s="49" t="inlineStr">
        <is>
          <t>nightly refresh</t>
        </is>
      </c>
      <c r="H592" s="48" t="n">
        <v>2</v>
      </c>
      <c r="I592" s="49" t="inlineStr">
        <is>
          <t>Yes</t>
        </is>
      </c>
      <c r="J592" s="49" t="inlineStr">
        <is>
          <t>1980-12-12</t>
        </is>
      </c>
      <c r="K592" s="48" t="n">
        <v>6701</v>
      </c>
      <c r="L592" s="49" t="inlineStr">
        <is>
          <t>2000-01-03</t>
        </is>
      </c>
      <c r="M592" s="49" t="inlineStr">
        <is>
          <t>2026-08-25</t>
        </is>
      </c>
      <c r="N592" s="48" t="n">
        <v>336</v>
      </c>
      <c r="O592" s="51" t="n">
        <v>-20.5872</v>
      </c>
      <c r="P592" s="51" t="n">
        <v>-81.37990000000001</v>
      </c>
      <c r="Q592" s="51" t="n">
        <v>69.7826</v>
      </c>
      <c r="R592" s="51" t="n">
        <v>-9.984299999999999</v>
      </c>
      <c r="S592" s="52">
        <f>IF($I592="Yes",$O592,"")</f>
        <v/>
      </c>
    </row>
    <row r="593">
      <c r="A593" s="43" t="inlineStr">
        <is>
          <t>ACN</t>
        </is>
      </c>
      <c r="B593" s="44" t="inlineStr">
        <is>
          <t>Accenture plc</t>
        </is>
      </c>
      <c r="C593" s="44" t="inlineStr">
        <is>
          <t>US</t>
        </is>
      </c>
      <c r="D593" s="44" t="inlineStr">
        <is>
          <t>S&amp;P 500</t>
        </is>
      </c>
      <c r="E593" s="44" t="inlineStr">
        <is>
          <t>Technology</t>
        </is>
      </c>
      <c r="F593" s="45" t="n">
        <v>110994055168</v>
      </c>
      <c r="G593" s="44" t="inlineStr">
        <is>
          <t>nightly refresh</t>
        </is>
      </c>
      <c r="H593" s="43" t="n">
        <v>111</v>
      </c>
      <c r="I593" s="44" t="inlineStr">
        <is>
          <t>No</t>
        </is>
      </c>
      <c r="J593" s="44" t="inlineStr">
        <is>
          <t>2001-07-19</t>
        </is>
      </c>
      <c r="K593" s="43" t="n">
        <v>6312</v>
      </c>
      <c r="L593" s="44" t="inlineStr">
        <is>
          <t>2001-07-19</t>
        </is>
      </c>
      <c r="M593" s="44" t="inlineStr">
        <is>
          <t>2026-08-25</t>
        </is>
      </c>
      <c r="N593" s="43" t="n">
        <v>306</v>
      </c>
      <c r="O593" s="46" t="n">
        <v>-17.4251</v>
      </c>
      <c r="P593" s="46" t="n">
        <v>-60</v>
      </c>
      <c r="Q593" s="46" t="n">
        <v>39.8804</v>
      </c>
      <c r="R593" s="46" t="n">
        <v>-35.2382</v>
      </c>
      <c r="S593" s="47">
        <f>IF($I593="Yes",$O593,"")</f>
        <v/>
      </c>
    </row>
    <row r="594">
      <c r="A594" s="48" t="inlineStr">
        <is>
          <t>ADBE</t>
        </is>
      </c>
      <c r="B594" s="49" t="inlineStr">
        <is>
          <t>Adobe Inc.</t>
        </is>
      </c>
      <c r="C594" s="49" t="inlineStr">
        <is>
          <t>US</t>
        </is>
      </c>
      <c r="D594" s="49" t="inlineStr">
        <is>
          <t>S&amp;P 500</t>
        </is>
      </c>
      <c r="E594" s="49" t="inlineStr">
        <is>
          <t>Technology</t>
        </is>
      </c>
      <c r="F594" s="50" t="n">
        <v>108704325632</v>
      </c>
      <c r="G594" s="49" t="inlineStr">
        <is>
          <t>nightly refresh</t>
        </is>
      </c>
      <c r="H594" s="48" t="n">
        <v>113</v>
      </c>
      <c r="I594" s="49" t="inlineStr">
        <is>
          <t>No</t>
        </is>
      </c>
      <c r="J594" s="49" t="inlineStr">
        <is>
          <t>1986-08-13</t>
        </is>
      </c>
      <c r="K594" s="48" t="n">
        <v>6701</v>
      </c>
      <c r="L594" s="49" t="inlineStr">
        <is>
          <t>2000-01-03</t>
        </is>
      </c>
      <c r="M594" s="49" t="inlineStr">
        <is>
          <t>2026-08-25</t>
        </is>
      </c>
      <c r="N594" s="48" t="n">
        <v>359</v>
      </c>
      <c r="O594" s="51" t="n">
        <v>-22.8491</v>
      </c>
      <c r="P594" s="51" t="n">
        <v>-73.80419999999999</v>
      </c>
      <c r="Q594" s="51" t="n">
        <v>55.5803</v>
      </c>
      <c r="R594" s="51" t="n">
        <v>-26.1392</v>
      </c>
      <c r="S594" s="52">
        <f>IF($I594="Yes",$O594,"")</f>
        <v/>
      </c>
    </row>
    <row r="595">
      <c r="A595" s="43" t="inlineStr">
        <is>
          <t>ADI</t>
        </is>
      </c>
      <c r="B595" s="44" t="inlineStr">
        <is>
          <t>Analog Devices, Inc.</t>
        </is>
      </c>
      <c r="C595" s="44" t="inlineStr">
        <is>
          <t>US</t>
        </is>
      </c>
      <c r="D595" s="44" t="inlineStr">
        <is>
          <t>S&amp;P 500</t>
        </is>
      </c>
      <c r="E595" s="44" t="inlineStr">
        <is>
          <t>Technology</t>
        </is>
      </c>
      <c r="F595" s="45" t="n">
        <v>180161429504</v>
      </c>
      <c r="G595" s="44" t="inlineStr">
        <is>
          <t>nightly refresh</t>
        </is>
      </c>
      <c r="H595" s="43" t="n">
        <v>71</v>
      </c>
      <c r="I595" s="44" t="inlineStr">
        <is>
          <t>No</t>
        </is>
      </c>
      <c r="J595" s="44" t="inlineStr">
        <is>
          <t>1980-03-17</t>
        </is>
      </c>
      <c r="K595" s="43" t="n">
        <v>6701</v>
      </c>
      <c r="L595" s="44" t="inlineStr">
        <is>
          <t>2000-01-03</t>
        </is>
      </c>
      <c r="M595" s="44" t="inlineStr">
        <is>
          <t>2026-08-25</t>
        </is>
      </c>
      <c r="N595" s="43" t="n">
        <v>376</v>
      </c>
      <c r="O595" s="46" t="n">
        <v>-20.2572</v>
      </c>
      <c r="P595" s="46" t="n">
        <v>-69.9126</v>
      </c>
      <c r="Q595" s="46" t="n">
        <v>45.5614</v>
      </c>
      <c r="R595" s="46" t="n">
        <v>-16.2028</v>
      </c>
      <c r="S595" s="47">
        <f>IF($I595="Yes",$O595,"")</f>
        <v/>
      </c>
    </row>
    <row r="596">
      <c r="A596" s="48" t="inlineStr">
        <is>
          <t>ADP</t>
        </is>
      </c>
      <c r="B596" s="49" t="inlineStr">
        <is>
          <t>Automatic Data Processing, Inc.</t>
        </is>
      </c>
      <c r="C596" s="49" t="inlineStr">
        <is>
          <t>US</t>
        </is>
      </c>
      <c r="D596" s="49" t="inlineStr">
        <is>
          <t>S&amp;P 500</t>
        </is>
      </c>
      <c r="E596" s="49" t="inlineStr">
        <is>
          <t>Technology</t>
        </is>
      </c>
      <c r="F596" s="50" t="n">
        <v>111785771008</v>
      </c>
      <c r="G596" s="49" t="inlineStr">
        <is>
          <t>nightly refresh</t>
        </is>
      </c>
      <c r="H596" s="48" t="n">
        <v>110</v>
      </c>
      <c r="I596" s="49" t="inlineStr">
        <is>
          <t>No</t>
        </is>
      </c>
      <c r="J596" s="49" t="inlineStr">
        <is>
          <t>1980-03-17</t>
        </is>
      </c>
      <c r="K596" s="48" t="n">
        <v>6701</v>
      </c>
      <c r="L596" s="49" t="inlineStr">
        <is>
          <t>2000-01-03</t>
        </is>
      </c>
      <c r="M596" s="49" t="inlineStr">
        <is>
          <t>2026-08-25</t>
        </is>
      </c>
      <c r="N596" s="48" t="n">
        <v>280</v>
      </c>
      <c r="O596" s="51" t="n">
        <v>-15.2747</v>
      </c>
      <c r="P596" s="51" t="n">
        <v>-52.8991</v>
      </c>
      <c r="Q596" s="51" t="n">
        <v>32.4287</v>
      </c>
      <c r="R596" s="51" t="n">
        <v>-5.5756</v>
      </c>
      <c r="S596" s="52">
        <f>IF($I596="Yes",$O596,"")</f>
        <v/>
      </c>
    </row>
    <row r="597">
      <c r="A597" s="43" t="inlineStr">
        <is>
          <t>ADSK</t>
        </is>
      </c>
      <c r="B597" s="44" t="inlineStr">
        <is>
          <t>Autodesk, Inc.</t>
        </is>
      </c>
      <c r="C597" s="44" t="inlineStr">
        <is>
          <t>US</t>
        </is>
      </c>
      <c r="D597" s="44" t="inlineStr">
        <is>
          <t>S&amp;P 500</t>
        </is>
      </c>
      <c r="E597" s="44" t="inlineStr">
        <is>
          <t>Technology</t>
        </is>
      </c>
      <c r="F597" s="45" t="n">
        <v>53793476608</v>
      </c>
      <c r="G597" s="44" t="inlineStr">
        <is>
          <t>nightly refresh</t>
        </is>
      </c>
      <c r="H597" s="43" t="n">
        <v>228</v>
      </c>
      <c r="I597" s="44" t="inlineStr">
        <is>
          <t>No</t>
        </is>
      </c>
      <c r="J597" s="44" t="inlineStr">
        <is>
          <t>1985-06-28</t>
        </is>
      </c>
      <c r="K597" s="43" t="n">
        <v>6701</v>
      </c>
      <c r="L597" s="44" t="inlineStr">
        <is>
          <t>2000-01-03</t>
        </is>
      </c>
      <c r="M597" s="44" t="inlineStr">
        <is>
          <t>2026-08-25</t>
        </is>
      </c>
      <c r="N597" s="43" t="n">
        <v>371</v>
      </c>
      <c r="O597" s="46" t="n">
        <v>-22.0916</v>
      </c>
      <c r="P597" s="46" t="n">
        <v>-71.94459999999999</v>
      </c>
      <c r="Q597" s="46" t="n">
        <v>57.5032</v>
      </c>
      <c r="R597" s="46" t="n">
        <v>-23.6653</v>
      </c>
      <c r="S597" s="47">
        <f>IF($I597="Yes",$O597,"")</f>
        <v/>
      </c>
    </row>
    <row r="598">
      <c r="A598" s="48" t="inlineStr">
        <is>
          <t>AKAM</t>
        </is>
      </c>
      <c r="B598" s="49" t="inlineStr">
        <is>
          <t>Akamai Technologies, Inc.</t>
        </is>
      </c>
      <c r="C598" s="49" t="inlineStr">
        <is>
          <t>US</t>
        </is>
      </c>
      <c r="D598" s="49" t="inlineStr">
        <is>
          <t>S&amp;P 500</t>
        </is>
      </c>
      <c r="E598" s="49" t="inlineStr">
        <is>
          <t>Technology</t>
        </is>
      </c>
      <c r="F598" s="50" t="n">
        <v>15530016768</v>
      </c>
      <c r="G598" s="49" t="inlineStr">
        <is>
          <t>nightly refresh</t>
        </is>
      </c>
      <c r="H598" s="48" t="n">
        <v>439</v>
      </c>
      <c r="I598" s="49" t="inlineStr">
        <is>
          <t>No</t>
        </is>
      </c>
      <c r="J598" s="49" t="inlineStr">
        <is>
          <t>1999-10-29</t>
        </is>
      </c>
      <c r="K598" s="48" t="n">
        <v>6701</v>
      </c>
      <c r="L598" s="49" t="inlineStr">
        <is>
          <t>2000-01-03</t>
        </is>
      </c>
      <c r="M598" s="49" t="inlineStr">
        <is>
          <t>2026-08-25</t>
        </is>
      </c>
      <c r="N598" s="48" t="n">
        <v>389</v>
      </c>
      <c r="O598" s="51" t="n">
        <v>-30.7738</v>
      </c>
      <c r="P598" s="51" t="n">
        <v>-96.5496</v>
      </c>
      <c r="Q598" s="51" t="n">
        <v>99.8425</v>
      </c>
      <c r="R598" s="51" t="n">
        <v>-36.0895</v>
      </c>
      <c r="S598" s="52">
        <f>IF($I598="Yes",$O598,"")</f>
        <v/>
      </c>
    </row>
    <row r="599">
      <c r="A599" s="43" t="inlineStr">
        <is>
          <t>AMAT</t>
        </is>
      </c>
      <c r="B599" s="44" t="inlineStr">
        <is>
          <t>Applied Materials, Inc.</t>
        </is>
      </c>
      <c r="C599" s="44" t="inlineStr">
        <is>
          <t>US</t>
        </is>
      </c>
      <c r="D599" s="44" t="inlineStr">
        <is>
          <t>S&amp;P 500</t>
        </is>
      </c>
      <c r="E599" s="44" t="inlineStr">
        <is>
          <t>Technology</t>
        </is>
      </c>
      <c r="F599" s="45" t="n">
        <v>380736307200</v>
      </c>
      <c r="G599" s="44" t="inlineStr">
        <is>
          <t>nightly refresh</t>
        </is>
      </c>
      <c r="H599" s="43" t="n">
        <v>30</v>
      </c>
      <c r="I599" s="44" t="inlineStr">
        <is>
          <t>Yes</t>
        </is>
      </c>
      <c r="J599" s="44" t="inlineStr">
        <is>
          <t>1980-03-17</t>
        </is>
      </c>
      <c r="K599" s="43" t="n">
        <v>6701</v>
      </c>
      <c r="L599" s="44" t="inlineStr">
        <is>
          <t>2000-01-03</t>
        </is>
      </c>
      <c r="M599" s="44" t="inlineStr">
        <is>
          <t>2026-08-25</t>
        </is>
      </c>
      <c r="N599" s="43" t="n">
        <v>383</v>
      </c>
      <c r="O599" s="46" t="n">
        <v>-25.1303</v>
      </c>
      <c r="P599" s="46" t="n">
        <v>-69.23909999999999</v>
      </c>
      <c r="Q599" s="46" t="n">
        <v>60.4247</v>
      </c>
      <c r="R599" s="46" t="n">
        <v>-35.1008</v>
      </c>
      <c r="S599" s="47">
        <f>IF($I599="Yes",$O599,"")</f>
        <v/>
      </c>
    </row>
    <row r="600">
      <c r="A600" s="48" t="inlineStr">
        <is>
          <t>AMD</t>
        </is>
      </c>
      <c r="B600" s="49" t="inlineStr">
        <is>
          <t>Advanced Micro Devices, Inc.</t>
        </is>
      </c>
      <c r="C600" s="49" t="inlineStr">
        <is>
          <t>US</t>
        </is>
      </c>
      <c r="D600" s="49" t="inlineStr">
        <is>
          <t>S&amp;P 500</t>
        </is>
      </c>
      <c r="E600" s="49" t="inlineStr">
        <is>
          <t>Technology</t>
        </is>
      </c>
      <c r="F600" s="50" t="n">
        <v>785106206720</v>
      </c>
      <c r="G600" s="49" t="inlineStr">
        <is>
          <t>nightly refresh</t>
        </is>
      </c>
      <c r="H600" s="48" t="n">
        <v>15</v>
      </c>
      <c r="I600" s="49" t="inlineStr">
        <is>
          <t>Yes</t>
        </is>
      </c>
      <c r="J600" s="49" t="inlineStr">
        <is>
          <t>1980-03-17</t>
        </is>
      </c>
      <c r="K600" s="48" t="n">
        <v>6701</v>
      </c>
      <c r="L600" s="49" t="inlineStr">
        <is>
          <t>2000-01-03</t>
        </is>
      </c>
      <c r="M600" s="49" t="inlineStr">
        <is>
          <t>2026-08-25</t>
        </is>
      </c>
      <c r="N600" s="48" t="n">
        <v>394</v>
      </c>
      <c r="O600" s="51" t="n">
        <v>-35.0994</v>
      </c>
      <c r="P600" s="51" t="n">
        <v>-84.46599999999999</v>
      </c>
      <c r="Q600" s="51" t="n">
        <v>112.6916</v>
      </c>
      <c r="R600" s="51" t="n">
        <v>-18.0511</v>
      </c>
      <c r="S600" s="52">
        <f>IF($I600="Yes",$O600,"")</f>
        <v/>
      </c>
    </row>
    <row r="601">
      <c r="A601" s="43" t="inlineStr">
        <is>
          <t>ANET</t>
        </is>
      </c>
      <c r="B601" s="44" t="inlineStr">
        <is>
          <t>Arista Networks, Inc.</t>
        </is>
      </c>
      <c r="C601" s="44" t="inlineStr">
        <is>
          <t>US</t>
        </is>
      </c>
      <c r="D601" s="44" t="inlineStr">
        <is>
          <t>S&amp;P 500</t>
        </is>
      </c>
      <c r="E601" s="44" t="inlineStr">
        <is>
          <t>Technology</t>
        </is>
      </c>
      <c r="F601" s="45" t="n">
        <v>255082692608</v>
      </c>
      <c r="G601" s="44" t="inlineStr">
        <is>
          <t>nightly refresh</t>
        </is>
      </c>
      <c r="H601" s="43" t="n">
        <v>45</v>
      </c>
      <c r="I601" s="44" t="inlineStr">
        <is>
          <t>Yes</t>
        </is>
      </c>
      <c r="J601" s="44" t="inlineStr">
        <is>
          <t>2014-06-06</t>
        </is>
      </c>
      <c r="K601" s="43" t="n">
        <v>3073</v>
      </c>
      <c r="L601" s="44" t="inlineStr">
        <is>
          <t>2014-06-06</t>
        </is>
      </c>
      <c r="M601" s="44" t="inlineStr">
        <is>
          <t>2026-08-25</t>
        </is>
      </c>
      <c r="N601" s="43" t="n">
        <v>157</v>
      </c>
      <c r="O601" s="46" t="n">
        <v>-21.2603</v>
      </c>
      <c r="P601" s="46" t="n">
        <v>-52.5946</v>
      </c>
      <c r="Q601" s="46" t="n">
        <v>80.84910000000001</v>
      </c>
      <c r="R601" s="46" t="n">
        <v>-11.1452</v>
      </c>
      <c r="S601" s="47">
        <f>IF($I601="Yes",$O601,"")</f>
        <v/>
      </c>
    </row>
    <row r="602">
      <c r="A602" s="48" t="inlineStr">
        <is>
          <t>APH</t>
        </is>
      </c>
      <c r="B602" s="49" t="inlineStr">
        <is>
          <t>Amphenol Corporation</t>
        </is>
      </c>
      <c r="C602" s="49" t="inlineStr">
        <is>
          <t>US</t>
        </is>
      </c>
      <c r="D602" s="49" t="inlineStr">
        <is>
          <t>S&amp;P 500</t>
        </is>
      </c>
      <c r="E602" s="49" t="inlineStr">
        <is>
          <t>Technology</t>
        </is>
      </c>
      <c r="F602" s="50" t="n">
        <v>198929547264</v>
      </c>
      <c r="G602" s="49" t="inlineStr">
        <is>
          <t>nightly refresh</t>
        </is>
      </c>
      <c r="H602" s="48" t="n">
        <v>59</v>
      </c>
      <c r="I602" s="49" t="inlineStr">
        <is>
          <t>Yes</t>
        </is>
      </c>
      <c r="J602" s="49" t="inlineStr">
        <is>
          <t>1991-11-08</t>
        </is>
      </c>
      <c r="K602" s="48" t="n">
        <v>6701</v>
      </c>
      <c r="L602" s="49" t="inlineStr">
        <is>
          <t>2000-01-03</t>
        </is>
      </c>
      <c r="M602" s="49" t="inlineStr">
        <is>
          <t>2026-08-25</t>
        </is>
      </c>
      <c r="N602" s="48" t="n">
        <v>302</v>
      </c>
      <c r="O602" s="51" t="n">
        <v>-16.9833</v>
      </c>
      <c r="P602" s="51" t="n">
        <v>-63.645</v>
      </c>
      <c r="Q602" s="51" t="n">
        <v>51.0527</v>
      </c>
      <c r="R602" s="51" t="n">
        <v>-11.0576</v>
      </c>
      <c r="S602" s="52">
        <f>IF($I602="Yes",$O602,"")</f>
        <v/>
      </c>
    </row>
    <row r="603">
      <c r="A603" s="43" t="inlineStr">
        <is>
          <t>AVGO</t>
        </is>
      </c>
      <c r="B603" s="44" t="inlineStr">
        <is>
          <t>Broadcom Inc.</t>
        </is>
      </c>
      <c r="C603" s="44" t="inlineStr">
        <is>
          <t>US</t>
        </is>
      </c>
      <c r="D603" s="44" t="inlineStr">
        <is>
          <t>S&amp;P 500</t>
        </is>
      </c>
      <c r="E603" s="44" t="inlineStr">
        <is>
          <t>Technology</t>
        </is>
      </c>
      <c r="F603" s="45" t="n">
        <v>1691748007936</v>
      </c>
      <c r="G603" s="44" t="inlineStr">
        <is>
          <t>nightly refresh</t>
        </is>
      </c>
      <c r="H603" s="43" t="n">
        <v>7</v>
      </c>
      <c r="I603" s="44" t="inlineStr">
        <is>
          <t>Yes</t>
        </is>
      </c>
      <c r="J603" s="44" t="inlineStr">
        <is>
          <t>2009-08-06</t>
        </is>
      </c>
      <c r="K603" s="43" t="n">
        <v>4289</v>
      </c>
      <c r="L603" s="44" t="inlineStr">
        <is>
          <t>2009-08-06</t>
        </is>
      </c>
      <c r="M603" s="44" t="inlineStr">
        <is>
          <t>2026-08-25</t>
        </is>
      </c>
      <c r="N603" s="43" t="n">
        <v>239</v>
      </c>
      <c r="O603" s="46" t="n">
        <v>-14.1565</v>
      </c>
      <c r="P603" s="46" t="n">
        <v>-49.3727</v>
      </c>
      <c r="Q603" s="46" t="n">
        <v>76.3276</v>
      </c>
      <c r="R603" s="46" t="n">
        <v>-27.8173</v>
      </c>
      <c r="S603" s="47">
        <f>IF($I603="Yes",$O603,"")</f>
        <v/>
      </c>
    </row>
    <row r="604">
      <c r="A604" s="48" t="inlineStr">
        <is>
          <t>BR</t>
        </is>
      </c>
      <c r="B604" s="49" t="inlineStr">
        <is>
          <t>Broadridge Financial Solutions, Inc.</t>
        </is>
      </c>
      <c r="C604" s="49" t="inlineStr">
        <is>
          <t>US</t>
        </is>
      </c>
      <c r="D604" s="49" t="inlineStr">
        <is>
          <t>S&amp;P 500</t>
        </is>
      </c>
      <c r="E604" s="49" t="inlineStr">
        <is>
          <t>Technology</t>
        </is>
      </c>
      <c r="F604" s="50" t="n">
        <v>20706359296</v>
      </c>
      <c r="G604" s="49" t="inlineStr">
        <is>
          <t>nightly refresh</t>
        </is>
      </c>
      <c r="H604" s="48" t="n">
        <v>399</v>
      </c>
      <c r="I604" s="49" t="inlineStr">
        <is>
          <t>No</t>
        </is>
      </c>
      <c r="J604" s="49" t="inlineStr">
        <is>
          <t>2007-03-22</t>
        </is>
      </c>
      <c r="K604" s="48" t="n">
        <v>4888</v>
      </c>
      <c r="L604" s="49" t="inlineStr">
        <is>
          <t>2007-03-22</t>
        </is>
      </c>
      <c r="M604" s="49" t="inlineStr">
        <is>
          <t>2026-08-25</t>
        </is>
      </c>
      <c r="N604" s="48" t="n">
        <v>233</v>
      </c>
      <c r="O604" s="51" t="n">
        <v>-15.9974</v>
      </c>
      <c r="P604" s="51" t="n">
        <v>-59.3596</v>
      </c>
      <c r="Q604" s="51" t="n">
        <v>40.1942</v>
      </c>
      <c r="R604" s="51" t="n">
        <v>-28.2806</v>
      </c>
      <c r="S604" s="52">
        <f>IF($I604="Yes",$O604,"")</f>
        <v/>
      </c>
    </row>
    <row r="605">
      <c r="A605" s="43" t="inlineStr">
        <is>
          <t>CDNS</t>
        </is>
      </c>
      <c r="B605" s="44" t="inlineStr">
        <is>
          <t>Cadence Design Systems, Inc.</t>
        </is>
      </c>
      <c r="C605" s="44" t="inlineStr">
        <is>
          <t>US</t>
        </is>
      </c>
      <c r="D605" s="44" t="inlineStr">
        <is>
          <t>S&amp;P 500</t>
        </is>
      </c>
      <c r="E605" s="44" t="inlineStr">
        <is>
          <t>Technology</t>
        </is>
      </c>
      <c r="F605" s="45" t="n">
        <v>92168527872</v>
      </c>
      <c r="G605" s="44" t="inlineStr">
        <is>
          <t>nightly refresh</t>
        </is>
      </c>
      <c r="H605" s="43" t="n">
        <v>142</v>
      </c>
      <c r="I605" s="44" t="inlineStr">
        <is>
          <t>No</t>
        </is>
      </c>
      <c r="J605" s="44" t="inlineStr">
        <is>
          <t>1987-06-10</t>
        </is>
      </c>
      <c r="K605" s="43" t="n">
        <v>6701</v>
      </c>
      <c r="L605" s="44" t="inlineStr">
        <is>
          <t>2000-01-03</t>
        </is>
      </c>
      <c r="M605" s="44" t="inlineStr">
        <is>
          <t>2026-08-25</t>
        </is>
      </c>
      <c r="N605" s="43" t="n">
        <v>338</v>
      </c>
      <c r="O605" s="46" t="n">
        <v>-20.9767</v>
      </c>
      <c r="P605" s="46" t="n">
        <v>-85.3831</v>
      </c>
      <c r="Q605" s="46" t="n">
        <v>53.1556</v>
      </c>
      <c r="R605" s="46" t="n">
        <v>-20.3485</v>
      </c>
      <c r="S605" s="47">
        <f>IF($I605="Yes",$O605,"")</f>
        <v/>
      </c>
    </row>
    <row r="606">
      <c r="A606" s="48" t="inlineStr">
        <is>
          <t>CDW</t>
        </is>
      </c>
      <c r="B606" s="49" t="inlineStr">
        <is>
          <t>CDW Corporation</t>
        </is>
      </c>
      <c r="C606" s="49" t="inlineStr">
        <is>
          <t>US</t>
        </is>
      </c>
      <c r="D606" s="49" t="inlineStr">
        <is>
          <t>S&amp;P 500</t>
        </is>
      </c>
      <c r="E606" s="49" t="inlineStr">
        <is>
          <t>Technology</t>
        </is>
      </c>
      <c r="F606" s="50" t="n">
        <v>17684965376</v>
      </c>
      <c r="G606" s="49" t="inlineStr">
        <is>
          <t>nightly refresh</t>
        </is>
      </c>
      <c r="H606" s="48" t="n">
        <v>423</v>
      </c>
      <c r="I606" s="49" t="inlineStr">
        <is>
          <t>No</t>
        </is>
      </c>
      <c r="J606" s="49" t="inlineStr">
        <is>
          <t>2013-06-27</t>
        </is>
      </c>
      <c r="K606" s="48" t="n">
        <v>3310</v>
      </c>
      <c r="L606" s="49" t="inlineStr">
        <is>
          <t>2013-06-27</t>
        </is>
      </c>
      <c r="M606" s="49" t="inlineStr">
        <is>
          <t>2026-08-25</t>
        </is>
      </c>
      <c r="N606" s="48" t="n">
        <v>169</v>
      </c>
      <c r="O606" s="51" t="n">
        <v>-16.7139</v>
      </c>
      <c r="P606" s="51" t="n">
        <v>-47.4953</v>
      </c>
      <c r="Q606" s="51" t="n">
        <v>46.8146</v>
      </c>
      <c r="R606" s="51" t="n">
        <v>-15.8881</v>
      </c>
      <c r="S606" s="52">
        <f>IF($I606="Yes",$O606,"")</f>
        <v/>
      </c>
    </row>
    <row r="607">
      <c r="A607" s="43" t="inlineStr">
        <is>
          <t>CIEN</t>
        </is>
      </c>
      <c r="B607" s="44" t="inlineStr">
        <is>
          <t>Ciena Corporation</t>
        </is>
      </c>
      <c r="C607" s="44" t="inlineStr">
        <is>
          <t>US</t>
        </is>
      </c>
      <c r="D607" s="44" t="inlineStr">
        <is>
          <t>S&amp;P 500</t>
        </is>
      </c>
      <c r="E607" s="44" t="inlineStr">
        <is>
          <t>Technology</t>
        </is>
      </c>
      <c r="F607" s="45" t="n">
        <v>57191628800</v>
      </c>
      <c r="G607" s="44" t="inlineStr">
        <is>
          <t>nightly refresh</t>
        </is>
      </c>
      <c r="H607" s="43" t="n">
        <v>215</v>
      </c>
      <c r="I607" s="44" t="inlineStr">
        <is>
          <t>No</t>
        </is>
      </c>
      <c r="J607" s="44" t="inlineStr">
        <is>
          <t>1997-02-07</t>
        </is>
      </c>
      <c r="K607" s="43" t="n">
        <v>6701</v>
      </c>
      <c r="L607" s="44" t="inlineStr">
        <is>
          <t>2000-01-03</t>
        </is>
      </c>
      <c r="M607" s="44" t="inlineStr">
        <is>
          <t>2026-08-25</t>
        </is>
      </c>
      <c r="N607" s="43" t="n">
        <v>391</v>
      </c>
      <c r="O607" s="46" t="n">
        <v>-33.0771</v>
      </c>
      <c r="P607" s="46" t="n">
        <v>-93.702</v>
      </c>
      <c r="Q607" s="46" t="n">
        <v>86.9564</v>
      </c>
      <c r="R607" s="46" t="n">
        <v>-39.1915</v>
      </c>
      <c r="S607" s="47">
        <f>IF($I607="Yes",$O607,"")</f>
        <v/>
      </c>
    </row>
    <row r="608">
      <c r="A608" s="48" t="inlineStr">
        <is>
          <t>COHR</t>
        </is>
      </c>
      <c r="B608" s="49" t="inlineStr">
        <is>
          <t>Coherent Corp.</t>
        </is>
      </c>
      <c r="C608" s="49" t="inlineStr">
        <is>
          <t>US</t>
        </is>
      </c>
      <c r="D608" s="49" t="inlineStr">
        <is>
          <t>S&amp;P 500</t>
        </is>
      </c>
      <c r="E608" s="49" t="inlineStr">
        <is>
          <t>Technology</t>
        </is>
      </c>
      <c r="F608" s="50" t="n">
        <v>57647136768</v>
      </c>
      <c r="G608" s="49" t="inlineStr">
        <is>
          <t>nightly refresh</t>
        </is>
      </c>
      <c r="H608" s="48" t="n">
        <v>212</v>
      </c>
      <c r="I608" s="49" t="inlineStr">
        <is>
          <t>No</t>
        </is>
      </c>
      <c r="J608" s="49" t="inlineStr">
        <is>
          <t>1987-10-02</t>
        </is>
      </c>
      <c r="K608" s="48" t="n">
        <v>6701</v>
      </c>
      <c r="L608" s="49" t="inlineStr">
        <is>
          <t>2000-01-03</t>
        </is>
      </c>
      <c r="M608" s="49" t="inlineStr">
        <is>
          <t>2026-08-25</t>
        </is>
      </c>
      <c r="N608" s="48" t="n">
        <v>377</v>
      </c>
      <c r="O608" s="51" t="n">
        <v>-26.964</v>
      </c>
      <c r="P608" s="51" t="n">
        <v>-68.91840000000001</v>
      </c>
      <c r="Q608" s="51" t="n">
        <v>81.5736</v>
      </c>
      <c r="R608" s="51" t="n">
        <v>-34.5136</v>
      </c>
      <c r="S608" s="52">
        <f>IF($I608="Yes",$O608,"")</f>
        <v/>
      </c>
    </row>
    <row r="609">
      <c r="A609" s="43" t="inlineStr">
        <is>
          <t>CPAY</t>
        </is>
      </c>
      <c r="B609" s="44" t="inlineStr">
        <is>
          <t>Corpay, Inc.</t>
        </is>
      </c>
      <c r="C609" s="44" t="inlineStr">
        <is>
          <t>US</t>
        </is>
      </c>
      <c r="D609" s="44" t="inlineStr">
        <is>
          <t>S&amp;P 500</t>
        </is>
      </c>
      <c r="E609" s="44" t="inlineStr">
        <is>
          <t>Technology</t>
        </is>
      </c>
      <c r="F609" s="45" t="n">
        <v>26718861312</v>
      </c>
      <c r="G609" s="44" t="inlineStr">
        <is>
          <t>nightly refresh</t>
        </is>
      </c>
      <c r="H609" s="43" t="n">
        <v>343</v>
      </c>
      <c r="I609" s="44" t="inlineStr">
        <is>
          <t>No</t>
        </is>
      </c>
      <c r="J609" s="44" t="inlineStr">
        <is>
          <t>2010-12-15</t>
        </is>
      </c>
      <c r="K609" s="43" t="n">
        <v>3946</v>
      </c>
      <c r="L609" s="44" t="inlineStr">
        <is>
          <t>2010-12-15</t>
        </is>
      </c>
      <c r="M609" s="44" t="inlineStr">
        <is>
          <t>2026-08-25</t>
        </is>
      </c>
      <c r="N609" s="43" t="n">
        <v>211</v>
      </c>
      <c r="O609" s="46" t="n">
        <v>-17.2604</v>
      </c>
      <c r="P609" s="46" t="n">
        <v>-47.94</v>
      </c>
      <c r="Q609" s="46" t="n">
        <v>52.5587</v>
      </c>
      <c r="R609" s="46" t="n">
        <v>-3.1882</v>
      </c>
      <c r="S609" s="47">
        <f>IF($I609="Yes",$O609,"")</f>
        <v/>
      </c>
    </row>
    <row r="610">
      <c r="A610" s="48" t="inlineStr">
        <is>
          <t>CRM</t>
        </is>
      </c>
      <c r="B610" s="49" t="inlineStr">
        <is>
          <t>Salesforce, Inc.</t>
        </is>
      </c>
      <c r="C610" s="49" t="inlineStr">
        <is>
          <t>US</t>
        </is>
      </c>
      <c r="D610" s="49" t="inlineStr">
        <is>
          <t>S&amp;P 500</t>
        </is>
      </c>
      <c r="E610" s="49" t="inlineStr">
        <is>
          <t>Technology</t>
        </is>
      </c>
      <c r="F610" s="50" t="n">
        <v>207437152511.5967</v>
      </c>
      <c r="G610" s="49" t="inlineStr">
        <is>
          <t>re-fetched 28 Aug 2026</t>
        </is>
      </c>
      <c r="H610" s="48" t="n">
        <v>58</v>
      </c>
      <c r="I610" s="49" t="inlineStr">
        <is>
          <t>Yes</t>
        </is>
      </c>
      <c r="J610" s="49" t="inlineStr">
        <is>
          <t>2004-06-23</t>
        </is>
      </c>
      <c r="K610" s="48" t="n">
        <v>5579</v>
      </c>
      <c r="L610" s="49" t="inlineStr">
        <is>
          <t>2004-06-23</t>
        </is>
      </c>
      <c r="M610" s="49" t="inlineStr">
        <is>
          <t>2026-08-25</t>
        </is>
      </c>
      <c r="N610" s="48" t="n">
        <v>307</v>
      </c>
      <c r="O610" s="51" t="n">
        <v>-21.6654</v>
      </c>
      <c r="P610" s="51" t="n">
        <v>-70.8018</v>
      </c>
      <c r="Q610" s="51" t="n">
        <v>67.6095</v>
      </c>
      <c r="R610" s="51" t="n">
        <v>-23.1776</v>
      </c>
      <c r="S610" s="52">
        <f>IF($I610="Yes",$O610,"")</f>
        <v/>
      </c>
    </row>
    <row r="611">
      <c r="A611" s="43" t="inlineStr">
        <is>
          <t>CRWD</t>
        </is>
      </c>
      <c r="B611" s="44" t="inlineStr">
        <is>
          <t>CrowdStrike Holdings, Inc.</t>
        </is>
      </c>
      <c r="C611" s="44" t="inlineStr">
        <is>
          <t>US</t>
        </is>
      </c>
      <c r="D611" s="44" t="inlineStr">
        <is>
          <t>S&amp;P 500</t>
        </is>
      </c>
      <c r="E611" s="44" t="inlineStr">
        <is>
          <t>Technology</t>
        </is>
      </c>
      <c r="F611" s="45" t="n">
        <v>192634273792</v>
      </c>
      <c r="G611" s="44" t="inlineStr">
        <is>
          <t>nightly refresh</t>
        </is>
      </c>
      <c r="H611" s="43" t="n">
        <v>63</v>
      </c>
      <c r="I611" s="44" t="inlineStr">
        <is>
          <t>No</t>
        </is>
      </c>
      <c r="J611" s="44" t="inlineStr">
        <is>
          <t>2019-06-12</t>
        </is>
      </c>
      <c r="K611" s="43" t="n">
        <v>1811</v>
      </c>
      <c r="L611" s="44" t="inlineStr">
        <is>
          <t>2019-06-12</t>
        </is>
      </c>
      <c r="M611" s="44" t="inlineStr">
        <is>
          <t>2026-08-25</t>
        </is>
      </c>
      <c r="N611" s="43" t="n">
        <v>113</v>
      </c>
      <c r="O611" s="46" t="n">
        <v>-27.6916</v>
      </c>
      <c r="P611" s="46" t="n">
        <v>-67.59910000000001</v>
      </c>
      <c r="Q611" s="46" t="n">
        <v>125.7169</v>
      </c>
      <c r="R611" s="46" t="n">
        <v>-18.5143</v>
      </c>
      <c r="S611" s="47">
        <f>IF($I611="Yes",$O611,"")</f>
        <v/>
      </c>
    </row>
    <row r="612">
      <c r="A612" s="48" t="inlineStr">
        <is>
          <t>CSCO</t>
        </is>
      </c>
      <c r="B612" s="49" t="inlineStr">
        <is>
          <t>Cisco Systems, Inc.</t>
        </is>
      </c>
      <c r="C612" s="49" t="inlineStr">
        <is>
          <t>US</t>
        </is>
      </c>
      <c r="D612" s="49" t="inlineStr">
        <is>
          <t>S&amp;P 500</t>
        </is>
      </c>
      <c r="E612" s="49" t="inlineStr">
        <is>
          <t>Technology</t>
        </is>
      </c>
      <c r="F612" s="50" t="n">
        <v>442859585536</v>
      </c>
      <c r="G612" s="49" t="inlineStr">
        <is>
          <t>nightly refresh</t>
        </is>
      </c>
      <c r="H612" s="48" t="n">
        <v>22</v>
      </c>
      <c r="I612" s="49" t="inlineStr">
        <is>
          <t>Yes</t>
        </is>
      </c>
      <c r="J612" s="49" t="inlineStr">
        <is>
          <t>1990-02-16</t>
        </is>
      </c>
      <c r="K612" s="48" t="n">
        <v>6701</v>
      </c>
      <c r="L612" s="49" t="inlineStr">
        <is>
          <t>2000-01-03</t>
        </is>
      </c>
      <c r="M612" s="49" t="inlineStr">
        <is>
          <t>2026-08-25</t>
        </is>
      </c>
      <c r="N612" s="48" t="n">
        <v>339</v>
      </c>
      <c r="O612" s="51" t="n">
        <v>-22.6175</v>
      </c>
      <c r="P612" s="51" t="n">
        <v>-82.0724</v>
      </c>
      <c r="Q612" s="51" t="n">
        <v>40.3625</v>
      </c>
      <c r="R612" s="51" t="n">
        <v>-14.7733</v>
      </c>
      <c r="S612" s="52">
        <f>IF($I612="Yes",$O612,"")</f>
        <v/>
      </c>
    </row>
    <row r="613">
      <c r="A613" s="43" t="inlineStr">
        <is>
          <t>CTSH</t>
        </is>
      </c>
      <c r="B613" s="44" t="inlineStr">
        <is>
          <t>Cognizant Technology Solutions Corporation</t>
        </is>
      </c>
      <c r="C613" s="44" t="inlineStr">
        <is>
          <t>US</t>
        </is>
      </c>
      <c r="D613" s="44" t="inlineStr">
        <is>
          <t>S&amp;P 500</t>
        </is>
      </c>
      <c r="E613" s="44" t="inlineStr">
        <is>
          <t>Technology</t>
        </is>
      </c>
      <c r="F613" s="45" t="n">
        <v>27968081920</v>
      </c>
      <c r="G613" s="44" t="inlineStr">
        <is>
          <t>nightly refresh</t>
        </is>
      </c>
      <c r="H613" s="43" t="n">
        <v>331</v>
      </c>
      <c r="I613" s="44" t="inlineStr">
        <is>
          <t>No</t>
        </is>
      </c>
      <c r="J613" s="44" t="inlineStr">
        <is>
          <t>1998-06-19</t>
        </is>
      </c>
      <c r="K613" s="43" t="n">
        <v>6701</v>
      </c>
      <c r="L613" s="44" t="inlineStr">
        <is>
          <t>2000-01-03</t>
        </is>
      </c>
      <c r="M613" s="44" t="inlineStr">
        <is>
          <t>2026-08-25</t>
        </is>
      </c>
      <c r="N613" s="43" t="n">
        <v>364</v>
      </c>
      <c r="O613" s="46" t="n">
        <v>-20.1178</v>
      </c>
      <c r="P613" s="46" t="n">
        <v>-62.7907</v>
      </c>
      <c r="Q613" s="46" t="n">
        <v>59.2549</v>
      </c>
      <c r="R613" s="46" t="n">
        <v>-26.66</v>
      </c>
      <c r="S613" s="47">
        <f>IF($I613="Yes",$O613,"")</f>
        <v/>
      </c>
    </row>
    <row r="614">
      <c r="A614" s="48" t="inlineStr">
        <is>
          <t>DDOG</t>
        </is>
      </c>
      <c r="B614" s="49" t="inlineStr">
        <is>
          <t>Datadog, Inc.</t>
        </is>
      </c>
      <c r="C614" s="49" t="inlineStr">
        <is>
          <t>US</t>
        </is>
      </c>
      <c r="D614" s="49" t="inlineStr">
        <is>
          <t>S&amp;P 500</t>
        </is>
      </c>
      <c r="E614" s="49" t="inlineStr">
        <is>
          <t>Technology</t>
        </is>
      </c>
      <c r="F614" s="50" t="n">
        <v>81750605824</v>
      </c>
      <c r="G614" s="49" t="inlineStr">
        <is>
          <t>nightly refresh</t>
        </is>
      </c>
      <c r="H614" s="48" t="n">
        <v>158</v>
      </c>
      <c r="I614" s="49" t="inlineStr">
        <is>
          <t>No</t>
        </is>
      </c>
      <c r="J614" s="49" t="inlineStr">
        <is>
          <t>2019-09-19</t>
        </is>
      </c>
      <c r="K614" s="48" t="n">
        <v>1742</v>
      </c>
      <c r="L614" s="49" t="inlineStr">
        <is>
          <t>2019-09-19</t>
        </is>
      </c>
      <c r="M614" s="49" t="inlineStr">
        <is>
          <t>2026-08-25</t>
        </is>
      </c>
      <c r="N614" s="48" t="n">
        <v>100</v>
      </c>
      <c r="O614" s="51" t="n">
        <v>-28.5458</v>
      </c>
      <c r="P614" s="51" t="n">
        <v>-66.3353</v>
      </c>
      <c r="Q614" s="51" t="n">
        <v>100.5249</v>
      </c>
      <c r="R614" s="51" t="n">
        <v>-23.8214</v>
      </c>
      <c r="S614" s="52">
        <f>IF($I614="Yes",$O614,"")</f>
        <v/>
      </c>
    </row>
    <row r="615">
      <c r="A615" s="43" t="inlineStr">
        <is>
          <t>DELL</t>
        </is>
      </c>
      <c r="B615" s="44" t="inlineStr">
        <is>
          <t>Dell Technologies Inc.</t>
        </is>
      </c>
      <c r="C615" s="44" t="inlineStr">
        <is>
          <t>US</t>
        </is>
      </c>
      <c r="D615" s="44" t="inlineStr">
        <is>
          <t>S&amp;P 500</t>
        </is>
      </c>
      <c r="E615" s="44" t="inlineStr">
        <is>
          <t>Technology</t>
        </is>
      </c>
      <c r="F615" s="45" t="n">
        <v>299693768704</v>
      </c>
      <c r="G615" s="44" t="inlineStr">
        <is>
          <t>nightly refresh</t>
        </is>
      </c>
      <c r="H615" s="43" t="n">
        <v>41</v>
      </c>
      <c r="I615" s="44" t="inlineStr">
        <is>
          <t>Yes</t>
        </is>
      </c>
      <c r="J615" s="44" t="inlineStr">
        <is>
          <t>2016-08-17</t>
        </is>
      </c>
      <c r="K615" s="43" t="n">
        <v>2519</v>
      </c>
      <c r="L615" s="44" t="inlineStr">
        <is>
          <t>2016-08-17</t>
        </is>
      </c>
      <c r="M615" s="44" t="inlineStr">
        <is>
          <t>2026-08-25</t>
        </is>
      </c>
      <c r="N615" s="43" t="n">
        <v>130</v>
      </c>
      <c r="O615" s="46" t="n">
        <v>-21.0934</v>
      </c>
      <c r="P615" s="46" t="n">
        <v>-59.6979</v>
      </c>
      <c r="Q615" s="46" t="n">
        <v>93.6875</v>
      </c>
      <c r="R615" s="46" t="n">
        <v>-12.1595</v>
      </c>
      <c r="S615" s="47">
        <f>IF($I615="Yes",$O615,"")</f>
        <v/>
      </c>
    </row>
    <row r="616">
      <c r="A616" s="48" t="inlineStr">
        <is>
          <t>FFIV</t>
        </is>
      </c>
      <c r="B616" s="49" t="inlineStr">
        <is>
          <t>F5, Inc.</t>
        </is>
      </c>
      <c r="C616" s="49" t="inlineStr">
        <is>
          <t>US</t>
        </is>
      </c>
      <c r="D616" s="49" t="inlineStr">
        <is>
          <t>S&amp;P 500</t>
        </is>
      </c>
      <c r="E616" s="49" t="inlineStr">
        <is>
          <t>Technology</t>
        </is>
      </c>
      <c r="F616" s="50" t="n">
        <v>22627655680</v>
      </c>
      <c r="G616" s="49" t="inlineStr">
        <is>
          <t>nightly refresh</t>
        </is>
      </c>
      <c r="H616" s="48" t="n">
        <v>383</v>
      </c>
      <c r="I616" s="49" t="inlineStr">
        <is>
          <t>No</t>
        </is>
      </c>
      <c r="J616" s="49" t="inlineStr">
        <is>
          <t>1999-06-04</t>
        </is>
      </c>
      <c r="K616" s="48" t="n">
        <v>6701</v>
      </c>
      <c r="L616" s="49" t="inlineStr">
        <is>
          <t>2000-01-03</t>
        </is>
      </c>
      <c r="M616" s="49" t="inlineStr">
        <is>
          <t>2026-08-25</t>
        </is>
      </c>
      <c r="N616" s="48" t="n">
        <v>382</v>
      </c>
      <c r="O616" s="51" t="n">
        <v>-27.1266</v>
      </c>
      <c r="P616" s="51" t="n">
        <v>-95.13890000000001</v>
      </c>
      <c r="Q616" s="51" t="n">
        <v>81.1281</v>
      </c>
      <c r="R616" s="51" t="n">
        <v>-12.0115</v>
      </c>
      <c r="S616" s="52">
        <f>IF($I616="Yes",$O616,"")</f>
        <v/>
      </c>
    </row>
    <row r="617">
      <c r="A617" s="43" t="inlineStr">
        <is>
          <t>FICO</t>
        </is>
      </c>
      <c r="B617" s="44" t="inlineStr">
        <is>
          <t>Fair Isaac Corporation</t>
        </is>
      </c>
      <c r="C617" s="44" t="inlineStr">
        <is>
          <t>US</t>
        </is>
      </c>
      <c r="D617" s="44" t="inlineStr">
        <is>
          <t>S&amp;P 500</t>
        </is>
      </c>
      <c r="E617" s="44" t="inlineStr">
        <is>
          <t>Technology</t>
        </is>
      </c>
      <c r="F617" s="45" t="n">
        <v>24485238784</v>
      </c>
      <c r="G617" s="44" t="inlineStr">
        <is>
          <t>nightly refresh</t>
        </is>
      </c>
      <c r="H617" s="43" t="n">
        <v>367</v>
      </c>
      <c r="I617" s="44" t="inlineStr">
        <is>
          <t>No</t>
        </is>
      </c>
      <c r="J617" s="44" t="inlineStr">
        <is>
          <t>1987-07-22</t>
        </is>
      </c>
      <c r="K617" s="43" t="n">
        <v>6701</v>
      </c>
      <c r="L617" s="44" t="inlineStr">
        <is>
          <t>2000-01-03</t>
        </is>
      </c>
      <c r="M617" s="44" t="inlineStr">
        <is>
          <t>2026-08-25</t>
        </is>
      </c>
      <c r="N617" s="43" t="n">
        <v>351</v>
      </c>
      <c r="O617" s="46" t="n">
        <v>-19.9731</v>
      </c>
      <c r="P617" s="46" t="n">
        <v>-71.6674</v>
      </c>
      <c r="Q617" s="46" t="n">
        <v>62.0433</v>
      </c>
      <c r="R617" s="46" t="n">
        <v>-43.0864</v>
      </c>
      <c r="S617" s="47">
        <f>IF($I617="Yes",$O617,"")</f>
        <v/>
      </c>
    </row>
    <row r="618">
      <c r="A618" s="48" t="inlineStr">
        <is>
          <t>FIS</t>
        </is>
      </c>
      <c r="B618" s="49" t="inlineStr">
        <is>
          <t>Fidelity National Information Services, Inc.</t>
        </is>
      </c>
      <c r="C618" s="49" t="inlineStr">
        <is>
          <t>US</t>
        </is>
      </c>
      <c r="D618" s="49" t="inlineStr">
        <is>
          <t>S&amp;P 500</t>
        </is>
      </c>
      <c r="E618" s="49" t="inlineStr">
        <is>
          <t>Technology</t>
        </is>
      </c>
      <c r="F618" s="50" t="n">
        <v>20958287872</v>
      </c>
      <c r="G618" s="49" t="inlineStr">
        <is>
          <t>nightly refresh</t>
        </is>
      </c>
      <c r="H618" s="48" t="n">
        <v>397</v>
      </c>
      <c r="I618" s="49" t="inlineStr">
        <is>
          <t>No</t>
        </is>
      </c>
      <c r="J618" s="49" t="inlineStr">
        <is>
          <t>2001-06-20</t>
        </is>
      </c>
      <c r="K618" s="48" t="n">
        <v>6332</v>
      </c>
      <c r="L618" s="49" t="inlineStr">
        <is>
          <t>2001-06-20</t>
        </is>
      </c>
      <c r="M618" s="49" t="inlineStr">
        <is>
          <t>2026-08-25</t>
        </is>
      </c>
      <c r="N618" s="48" t="n">
        <v>304</v>
      </c>
      <c r="O618" s="51" t="n">
        <v>-19.963</v>
      </c>
      <c r="P618" s="51" t="n">
        <v>-59.3617</v>
      </c>
      <c r="Q618" s="51" t="n">
        <v>37.5295</v>
      </c>
      <c r="R618" s="51" t="n">
        <v>-41.7054</v>
      </c>
      <c r="S618" s="52">
        <f>IF($I618="Yes",$O618,"")</f>
        <v/>
      </c>
    </row>
    <row r="619">
      <c r="A619" s="43" t="inlineStr">
        <is>
          <t>FLEX</t>
        </is>
      </c>
      <c r="B619" s="44" t="inlineStr">
        <is>
          <t>Flex Ltd.</t>
        </is>
      </c>
      <c r="C619" s="44" t="inlineStr">
        <is>
          <t>US</t>
        </is>
      </c>
      <c r="D619" s="44" t="inlineStr">
        <is>
          <t>S&amp;P 500</t>
        </is>
      </c>
      <c r="E619" s="44" t="inlineStr">
        <is>
          <t>Technology</t>
        </is>
      </c>
      <c r="F619" s="45" t="n">
        <v>41306640384</v>
      </c>
      <c r="G619" s="44" t="inlineStr">
        <is>
          <t>nightly refresh</t>
        </is>
      </c>
      <c r="H619" s="43" t="n">
        <v>268</v>
      </c>
      <c r="I619" s="44" t="inlineStr">
        <is>
          <t>No</t>
        </is>
      </c>
      <c r="J619" s="44" t="inlineStr">
        <is>
          <t>1994-03-18</t>
        </is>
      </c>
      <c r="K619" s="43" t="n">
        <v>6701</v>
      </c>
      <c r="L619" s="44" t="inlineStr">
        <is>
          <t>2000-01-03</t>
        </is>
      </c>
      <c r="M619" s="44" t="inlineStr">
        <is>
          <t>2026-08-25</t>
        </is>
      </c>
      <c r="N619" s="43" t="n">
        <v>366</v>
      </c>
      <c r="O619" s="46" t="n">
        <v>-26.0422</v>
      </c>
      <c r="P619" s="46" t="n">
        <v>-87.0759</v>
      </c>
      <c r="Q619" s="46" t="n">
        <v>80.3777</v>
      </c>
      <c r="R619" s="46" t="n">
        <v>-34.526</v>
      </c>
      <c r="S619" s="47">
        <f>IF($I619="Yes",$O619,"")</f>
        <v/>
      </c>
    </row>
    <row r="620">
      <c r="A620" s="48" t="inlineStr">
        <is>
          <t>FSLR</t>
        </is>
      </c>
      <c r="B620" s="49" t="inlineStr">
        <is>
          <t>First Solar, Inc.</t>
        </is>
      </c>
      <c r="C620" s="49" t="inlineStr">
        <is>
          <t>US</t>
        </is>
      </c>
      <c r="D620" s="49" t="inlineStr">
        <is>
          <t>S&amp;P 500</t>
        </is>
      </c>
      <c r="E620" s="49" t="inlineStr">
        <is>
          <t>Technology</t>
        </is>
      </c>
      <c r="F620" s="50" t="n">
        <v>22131253248</v>
      </c>
      <c r="G620" s="49" t="inlineStr">
        <is>
          <t>nightly refresh</t>
        </is>
      </c>
      <c r="H620" s="48" t="n">
        <v>387</v>
      </c>
      <c r="I620" s="49" t="inlineStr">
        <is>
          <t>No</t>
        </is>
      </c>
      <c r="J620" s="49" t="inlineStr">
        <is>
          <t>2006-11-17</t>
        </is>
      </c>
      <c r="K620" s="48" t="n">
        <v>4971</v>
      </c>
      <c r="L620" s="49" t="inlineStr">
        <is>
          <t>2006-11-17</t>
        </is>
      </c>
      <c r="M620" s="49" t="inlineStr">
        <is>
          <t>2026-08-25</t>
        </is>
      </c>
      <c r="N620" s="48" t="n">
        <v>322</v>
      </c>
      <c r="O620" s="51" t="n">
        <v>-31.9595</v>
      </c>
      <c r="P620" s="51" t="n">
        <v>-91.72410000000001</v>
      </c>
      <c r="Q620" s="51" t="n">
        <v>107.2698</v>
      </c>
      <c r="R620" s="51" t="n">
        <v>-35.5601</v>
      </c>
      <c r="S620" s="52">
        <f>IF($I620="Yes",$O620,"")</f>
        <v/>
      </c>
    </row>
    <row r="621">
      <c r="A621" s="43" t="inlineStr">
        <is>
          <t>FTNT</t>
        </is>
      </c>
      <c r="B621" s="44" t="inlineStr">
        <is>
          <t>Fortinet, Inc.</t>
        </is>
      </c>
      <c r="C621" s="44" t="inlineStr">
        <is>
          <t>US</t>
        </is>
      </c>
      <c r="D621" s="44" t="inlineStr">
        <is>
          <t>S&amp;P 500</t>
        </is>
      </c>
      <c r="E621" s="44" t="inlineStr">
        <is>
          <t>Technology</t>
        </is>
      </c>
      <c r="F621" s="45" t="n">
        <v>115589242880</v>
      </c>
      <c r="G621" s="44" t="inlineStr">
        <is>
          <t>nightly refresh</t>
        </is>
      </c>
      <c r="H621" s="43" t="n">
        <v>106</v>
      </c>
      <c r="I621" s="44" t="inlineStr">
        <is>
          <t>No</t>
        </is>
      </c>
      <c r="J621" s="44" t="inlineStr">
        <is>
          <t>2009-11-18</t>
        </is>
      </c>
      <c r="K621" s="43" t="n">
        <v>4216</v>
      </c>
      <c r="L621" s="44" t="inlineStr">
        <is>
          <t>2009-11-18</t>
        </is>
      </c>
      <c r="M621" s="44" t="inlineStr">
        <is>
          <t>2026-08-25</t>
        </is>
      </c>
      <c r="N621" s="43" t="n">
        <v>232</v>
      </c>
      <c r="O621" s="46" t="n">
        <v>-20.7859</v>
      </c>
      <c r="P621" s="46" t="n">
        <v>-52.6337</v>
      </c>
      <c r="Q621" s="46" t="n">
        <v>71.4577</v>
      </c>
      <c r="R621" s="46" t="n">
        <v>-10.7095</v>
      </c>
      <c r="S621" s="47">
        <f>IF($I621="Yes",$O621,"")</f>
        <v/>
      </c>
    </row>
    <row r="622">
      <c r="A622" s="48" t="inlineStr">
        <is>
          <t>FTV</t>
        </is>
      </c>
      <c r="B622" s="49" t="inlineStr">
        <is>
          <t>Fortive Corporation</t>
        </is>
      </c>
      <c r="C622" s="49" t="inlineStr">
        <is>
          <t>US</t>
        </is>
      </c>
      <c r="D622" s="49" t="inlineStr">
        <is>
          <t>S&amp;P 500</t>
        </is>
      </c>
      <c r="E622" s="49" t="inlineStr">
        <is>
          <t>Technology</t>
        </is>
      </c>
      <c r="F622" s="50" t="n">
        <v>18196527104</v>
      </c>
      <c r="G622" s="49" t="inlineStr">
        <is>
          <t>nightly refresh</t>
        </is>
      </c>
      <c r="H622" s="48" t="n">
        <v>416</v>
      </c>
      <c r="I622" s="49" t="inlineStr">
        <is>
          <t>No</t>
        </is>
      </c>
      <c r="J622" s="49" t="inlineStr">
        <is>
          <t>2016-07-05</t>
        </is>
      </c>
      <c r="K622" s="48" t="n">
        <v>2550</v>
      </c>
      <c r="L622" s="49" t="inlineStr">
        <is>
          <t>2016-07-05</t>
        </is>
      </c>
      <c r="M622" s="49" t="inlineStr">
        <is>
          <t>2026-08-25</t>
        </is>
      </c>
      <c r="N622" s="48" t="n">
        <v>121</v>
      </c>
      <c r="O622" s="51" t="n">
        <v>-15.771</v>
      </c>
      <c r="P622" s="51" t="n">
        <v>-52.8684</v>
      </c>
      <c r="Q622" s="51" t="n">
        <v>33.9024</v>
      </c>
      <c r="R622" s="51" t="n">
        <v>-7.8377</v>
      </c>
      <c r="S622" s="52">
        <f>IF($I622="Yes",$O622,"")</f>
        <v/>
      </c>
    </row>
    <row r="623">
      <c r="A623" s="43" t="inlineStr">
        <is>
          <t>GDDY</t>
        </is>
      </c>
      <c r="B623" s="44" t="inlineStr">
        <is>
          <t>GoDaddy Inc.</t>
        </is>
      </c>
      <c r="C623" s="44" t="inlineStr">
        <is>
          <t>US</t>
        </is>
      </c>
      <c r="D623" s="44" t="inlineStr">
        <is>
          <t>S&amp;P 500</t>
        </is>
      </c>
      <c r="E623" s="44" t="inlineStr">
        <is>
          <t>Technology</t>
        </is>
      </c>
      <c r="F623" s="45" t="n">
        <v>12099921920</v>
      </c>
      <c r="G623" s="44" t="inlineStr">
        <is>
          <t>nightly refresh</t>
        </is>
      </c>
      <c r="H623" s="43" t="n">
        <v>474</v>
      </c>
      <c r="I623" s="44" t="inlineStr">
        <is>
          <t>No</t>
        </is>
      </c>
      <c r="J623" s="44" t="inlineStr">
        <is>
          <t>2015-03-31</t>
        </is>
      </c>
      <c r="K623" s="43" t="n">
        <v>2868</v>
      </c>
      <c r="L623" s="44" t="inlineStr">
        <is>
          <t>2015-03-31</t>
        </is>
      </c>
      <c r="M623" s="44" t="inlineStr">
        <is>
          <t>2026-08-25</t>
        </is>
      </c>
      <c r="N623" s="43" t="n">
        <v>163</v>
      </c>
      <c r="O623" s="46" t="n">
        <v>-21.1034</v>
      </c>
      <c r="P623" s="46" t="n">
        <v>-59.1217</v>
      </c>
      <c r="Q623" s="46" t="n">
        <v>50.8439</v>
      </c>
      <c r="R623" s="46" t="n">
        <v>-33.6811</v>
      </c>
      <c r="S623" s="47">
        <f>IF($I623="Yes",$O623,"")</f>
        <v/>
      </c>
    </row>
    <row r="624">
      <c r="A624" s="48" t="inlineStr">
        <is>
          <t>GEN</t>
        </is>
      </c>
      <c r="B624" s="49" t="inlineStr">
        <is>
          <t>Gen Digital Inc.</t>
        </is>
      </c>
      <c r="C624" s="49" t="inlineStr">
        <is>
          <t>US</t>
        </is>
      </c>
      <c r="D624" s="49" t="inlineStr">
        <is>
          <t>S&amp;P 500</t>
        </is>
      </c>
      <c r="E624" s="49" t="inlineStr">
        <is>
          <t>Technology</t>
        </is>
      </c>
      <c r="F624" s="50" t="n">
        <v>17742118912</v>
      </c>
      <c r="G624" s="49" t="inlineStr">
        <is>
          <t>nightly refresh</t>
        </is>
      </c>
      <c r="H624" s="48" t="n">
        <v>420</v>
      </c>
      <c r="I624" s="49" t="inlineStr">
        <is>
          <t>No</t>
        </is>
      </c>
      <c r="J624" s="49" t="inlineStr">
        <is>
          <t>1989-06-23</t>
        </is>
      </c>
      <c r="K624" s="48" t="n">
        <v>6701</v>
      </c>
      <c r="L624" s="49" t="inlineStr">
        <is>
          <t>2000-01-03</t>
        </is>
      </c>
      <c r="M624" s="49" t="inlineStr">
        <is>
          <t>2026-08-25</t>
        </is>
      </c>
      <c r="N624" s="48" t="n">
        <v>379</v>
      </c>
      <c r="O624" s="51" t="n">
        <v>-21.9673</v>
      </c>
      <c r="P624" s="51" t="n">
        <v>-63.4763</v>
      </c>
      <c r="Q624" s="51" t="n">
        <v>49.5901</v>
      </c>
      <c r="R624" s="51" t="n">
        <v>-5.7217</v>
      </c>
      <c r="S624" s="52">
        <f>IF($I624="Yes",$O624,"")</f>
        <v/>
      </c>
    </row>
    <row r="625">
      <c r="A625" s="43" t="inlineStr">
        <is>
          <t>GLW</t>
        </is>
      </c>
      <c r="B625" s="44" t="inlineStr">
        <is>
          <t>Corning Incorporated</t>
        </is>
      </c>
      <c r="C625" s="44" t="inlineStr">
        <is>
          <t>US</t>
        </is>
      </c>
      <c r="D625" s="44" t="inlineStr">
        <is>
          <t>S&amp;P 500</t>
        </is>
      </c>
      <c r="E625" s="44" t="inlineStr">
        <is>
          <t>Technology</t>
        </is>
      </c>
      <c r="F625" s="45" t="n">
        <v>131602915328</v>
      </c>
      <c r="G625" s="44" t="inlineStr">
        <is>
          <t>nightly refresh</t>
        </is>
      </c>
      <c r="H625" s="43" t="n">
        <v>95</v>
      </c>
      <c r="I625" s="44" t="inlineStr">
        <is>
          <t>No</t>
        </is>
      </c>
      <c r="J625" s="44" t="inlineStr">
        <is>
          <t>1981-12-31</t>
        </is>
      </c>
      <c r="K625" s="43" t="n">
        <v>6701</v>
      </c>
      <c r="L625" s="44" t="inlineStr">
        <is>
          <t>2000-01-03</t>
        </is>
      </c>
      <c r="M625" s="44" t="inlineStr">
        <is>
          <t>2026-08-25</t>
        </is>
      </c>
      <c r="N625" s="43" t="n">
        <v>365</v>
      </c>
      <c r="O625" s="46" t="n">
        <v>-25.3785</v>
      </c>
      <c r="P625" s="46" t="n">
        <v>-93.40779999999999</v>
      </c>
      <c r="Q625" s="46" t="n">
        <v>77.5642</v>
      </c>
      <c r="R625" s="46" t="n">
        <v>-45.8533</v>
      </c>
      <c r="S625" s="47">
        <f>IF($I625="Yes",$O625,"")</f>
        <v/>
      </c>
    </row>
    <row r="626">
      <c r="A626" s="48" t="inlineStr">
        <is>
          <t>GRMN</t>
        </is>
      </c>
      <c r="B626" s="49" t="inlineStr">
        <is>
          <t>Garmin Ltd.</t>
        </is>
      </c>
      <c r="C626" s="49" t="inlineStr">
        <is>
          <t>US</t>
        </is>
      </c>
      <c r="D626" s="49" t="inlineStr">
        <is>
          <t>S&amp;P 500</t>
        </is>
      </c>
      <c r="E626" s="49" t="inlineStr">
        <is>
          <t>Technology</t>
        </is>
      </c>
      <c r="F626" s="50" t="n">
        <v>55738241024</v>
      </c>
      <c r="G626" s="49" t="inlineStr">
        <is>
          <t>nightly refresh</t>
        </is>
      </c>
      <c r="H626" s="48" t="n">
        <v>222</v>
      </c>
      <c r="I626" s="49" t="inlineStr">
        <is>
          <t>No</t>
        </is>
      </c>
      <c r="J626" s="49" t="inlineStr">
        <is>
          <t>2000-12-08</t>
        </is>
      </c>
      <c r="K626" s="48" t="n">
        <v>6464</v>
      </c>
      <c r="L626" s="49" t="inlineStr">
        <is>
          <t>2000-12-08</t>
        </is>
      </c>
      <c r="M626" s="49" t="inlineStr">
        <is>
          <t>2026-08-25</t>
        </is>
      </c>
      <c r="N626" s="48" t="n">
        <v>353</v>
      </c>
      <c r="O626" s="51" t="n">
        <v>-21.3574</v>
      </c>
      <c r="P626" s="51" t="n">
        <v>-86.4927</v>
      </c>
      <c r="Q626" s="51" t="n">
        <v>58.2479</v>
      </c>
      <c r="R626" s="51" t="n">
        <v>-8.2188</v>
      </c>
      <c r="S626" s="52">
        <f>IF($I626="Yes",$O626,"")</f>
        <v/>
      </c>
    </row>
    <row r="627">
      <c r="A627" s="43" t="inlineStr">
        <is>
          <t>HPE</t>
        </is>
      </c>
      <c r="B627" s="44" t="inlineStr">
        <is>
          <t>Hewlett Packard Enterprise Company</t>
        </is>
      </c>
      <c r="C627" s="44" t="inlineStr">
        <is>
          <t>US</t>
        </is>
      </c>
      <c r="D627" s="44" t="inlineStr">
        <is>
          <t>S&amp;P 500</t>
        </is>
      </c>
      <c r="E627" s="44" t="inlineStr">
        <is>
          <t>Technology</t>
        </is>
      </c>
      <c r="F627" s="45" t="n">
        <v>73135759360</v>
      </c>
      <c r="G627" s="44" t="inlineStr">
        <is>
          <t>nightly refresh</t>
        </is>
      </c>
      <c r="H627" s="43" t="n">
        <v>180</v>
      </c>
      <c r="I627" s="44" t="inlineStr">
        <is>
          <t>No</t>
        </is>
      </c>
      <c r="J627" s="44" t="inlineStr">
        <is>
          <t>2015-10-19</t>
        </is>
      </c>
      <c r="K627" s="43" t="n">
        <v>2728</v>
      </c>
      <c r="L627" s="44" t="inlineStr">
        <is>
          <t>2015-10-19</t>
        </is>
      </c>
      <c r="M627" s="44" t="inlineStr">
        <is>
          <t>2026-08-25</t>
        </is>
      </c>
      <c r="N627" s="43" t="n">
        <v>147</v>
      </c>
      <c r="O627" s="46" t="n">
        <v>-18.9881</v>
      </c>
      <c r="P627" s="46" t="n">
        <v>-54.6589</v>
      </c>
      <c r="Q627" s="46" t="n">
        <v>53.2662</v>
      </c>
      <c r="R627" s="46" t="n">
        <v>-16.5816</v>
      </c>
      <c r="S627" s="47">
        <f>IF($I627="Yes",$O627,"")</f>
        <v/>
      </c>
    </row>
    <row r="628">
      <c r="A628" s="48" t="inlineStr">
        <is>
          <t>HPQ</t>
        </is>
      </c>
      <c r="B628" s="49" t="inlineStr">
        <is>
          <t>HP Inc.</t>
        </is>
      </c>
      <c r="C628" s="49" t="inlineStr">
        <is>
          <t>US</t>
        </is>
      </c>
      <c r="D628" s="49" t="inlineStr">
        <is>
          <t>S&amp;P 500</t>
        </is>
      </c>
      <c r="E628" s="49" t="inlineStr">
        <is>
          <t>Technology</t>
        </is>
      </c>
      <c r="F628" s="50" t="n">
        <v>26720065654.6569</v>
      </c>
      <c r="G628" s="49" t="inlineStr">
        <is>
          <t>re-fetched 28 Aug 2026</t>
        </is>
      </c>
      <c r="H628" s="48" t="n">
        <v>342</v>
      </c>
      <c r="I628" s="49" t="inlineStr">
        <is>
          <t>No</t>
        </is>
      </c>
      <c r="J628" s="49" t="inlineStr">
        <is>
          <t>1962-01-02</t>
        </is>
      </c>
      <c r="K628" s="48" t="n">
        <v>6701</v>
      </c>
      <c r="L628" s="49" t="inlineStr">
        <is>
          <t>2000-01-03</t>
        </is>
      </c>
      <c r="M628" s="49" t="inlineStr">
        <is>
          <t>2026-08-25</t>
        </is>
      </c>
      <c r="N628" s="48" t="n">
        <v>372</v>
      </c>
      <c r="O628" s="51" t="n">
        <v>-24.9892</v>
      </c>
      <c r="P628" s="51" t="n">
        <v>-72.6589</v>
      </c>
      <c r="Q628" s="51" t="n">
        <v>46.1913</v>
      </c>
      <c r="R628" s="51" t="n">
        <v>-8.294499999999999</v>
      </c>
      <c r="S628" s="52">
        <f>IF($I628="Yes",$O628,"")</f>
        <v/>
      </c>
    </row>
    <row r="629">
      <c r="A629" s="43" t="inlineStr">
        <is>
          <t>IBM</t>
        </is>
      </c>
      <c r="B629" s="44" t="inlineStr">
        <is>
          <t>International Business Machines Corporation</t>
        </is>
      </c>
      <c r="C629" s="44" t="inlineStr">
        <is>
          <t>US</t>
        </is>
      </c>
      <c r="D629" s="44" t="inlineStr">
        <is>
          <t>S&amp;P 500</t>
        </is>
      </c>
      <c r="E629" s="44" t="inlineStr">
        <is>
          <t>Technology</t>
        </is>
      </c>
      <c r="F629" s="45" t="n">
        <v>216568430592</v>
      </c>
      <c r="G629" s="44" t="inlineStr">
        <is>
          <t>nightly refresh</t>
        </is>
      </c>
      <c r="H629" s="43" t="n">
        <v>56</v>
      </c>
      <c r="I629" s="44" t="inlineStr">
        <is>
          <t>Yes</t>
        </is>
      </c>
      <c r="J629" s="44" t="inlineStr">
        <is>
          <t>1962-01-02</t>
        </is>
      </c>
      <c r="K629" s="43" t="n">
        <v>6701</v>
      </c>
      <c r="L629" s="44" t="inlineStr">
        <is>
          <t>2000-01-03</t>
        </is>
      </c>
      <c r="M629" s="44" t="inlineStr">
        <is>
          <t>2026-08-25</t>
        </is>
      </c>
      <c r="N629" s="43" t="n">
        <v>340</v>
      </c>
      <c r="O629" s="46" t="n">
        <v>-16.1981</v>
      </c>
      <c r="P629" s="46" t="n">
        <v>-56.1886</v>
      </c>
      <c r="Q629" s="46" t="n">
        <v>31.2525</v>
      </c>
      <c r="R629" s="46" t="n">
        <v>-29.5584</v>
      </c>
      <c r="S629" s="47">
        <f>IF($I629="Yes",$O629,"")</f>
        <v/>
      </c>
    </row>
    <row r="630">
      <c r="A630" s="48" t="inlineStr">
        <is>
          <t>INTC</t>
        </is>
      </c>
      <c r="B630" s="49" t="inlineStr">
        <is>
          <t>Intel Corporation</t>
        </is>
      </c>
      <c r="C630" s="49" t="inlineStr">
        <is>
          <t>US</t>
        </is>
      </c>
      <c r="D630" s="49" t="inlineStr">
        <is>
          <t>S&amp;P 500</t>
        </is>
      </c>
      <c r="E630" s="49" t="inlineStr">
        <is>
          <t>Technology</t>
        </is>
      </c>
      <c r="F630" s="50" t="n">
        <v>466445893632</v>
      </c>
      <c r="G630" s="49" t="inlineStr">
        <is>
          <t>nightly refresh</t>
        </is>
      </c>
      <c r="H630" s="48" t="n">
        <v>20</v>
      </c>
      <c r="I630" s="49" t="inlineStr">
        <is>
          <t>Yes</t>
        </is>
      </c>
      <c r="J630" s="49" t="inlineStr">
        <is>
          <t>1980-03-17</t>
        </is>
      </c>
      <c r="K630" s="48" t="n">
        <v>6701</v>
      </c>
      <c r="L630" s="49" t="inlineStr">
        <is>
          <t>2000-01-03</t>
        </is>
      </c>
      <c r="M630" s="49" t="inlineStr">
        <is>
          <t>2026-08-25</t>
        </is>
      </c>
      <c r="N630" s="48" t="n">
        <v>380</v>
      </c>
      <c r="O630" s="51" t="n">
        <v>-25.519</v>
      </c>
      <c r="P630" s="51" t="n">
        <v>-70.13330000000001</v>
      </c>
      <c r="Q630" s="51" t="n">
        <v>46.9513</v>
      </c>
      <c r="R630" s="51" t="n">
        <v>-38.5458</v>
      </c>
      <c r="S630" s="52">
        <f>IF($I630="Yes",$O630,"")</f>
        <v/>
      </c>
    </row>
    <row r="631">
      <c r="A631" s="43" t="inlineStr">
        <is>
          <t>INTU</t>
        </is>
      </c>
      <c r="B631" s="44" t="inlineStr">
        <is>
          <t>Intuit Inc.</t>
        </is>
      </c>
      <c r="C631" s="44" t="inlineStr">
        <is>
          <t>US</t>
        </is>
      </c>
      <c r="D631" s="44" t="inlineStr">
        <is>
          <t>S&amp;P 500</t>
        </is>
      </c>
      <c r="E631" s="44" t="inlineStr">
        <is>
          <t>Technology</t>
        </is>
      </c>
      <c r="F631" s="45" t="n">
        <v>94610972672</v>
      </c>
      <c r="G631" s="44" t="inlineStr">
        <is>
          <t>nightly refresh</t>
        </is>
      </c>
      <c r="H631" s="43" t="n">
        <v>135</v>
      </c>
      <c r="I631" s="44" t="inlineStr">
        <is>
          <t>No</t>
        </is>
      </c>
      <c r="J631" s="44" t="inlineStr">
        <is>
          <t>1993-03-12</t>
        </is>
      </c>
      <c r="K631" s="43" t="n">
        <v>6701</v>
      </c>
      <c r="L631" s="44" t="inlineStr">
        <is>
          <t>2000-01-03</t>
        </is>
      </c>
      <c r="M631" s="44" t="inlineStr">
        <is>
          <t>2026-08-25</t>
        </is>
      </c>
      <c r="N631" s="43" t="n">
        <v>363</v>
      </c>
      <c r="O631" s="46" t="n">
        <v>-19.9609</v>
      </c>
      <c r="P631" s="46" t="n">
        <v>-70.9722</v>
      </c>
      <c r="Q631" s="46" t="n">
        <v>44.0857</v>
      </c>
      <c r="R631" s="46" t="n">
        <v>-48.9588</v>
      </c>
      <c r="S631" s="47">
        <f>IF($I631="Yes",$O631,"")</f>
        <v/>
      </c>
    </row>
    <row r="632">
      <c r="A632" s="48" t="inlineStr">
        <is>
          <t>IT</t>
        </is>
      </c>
      <c r="B632" s="49" t="inlineStr">
        <is>
          <t>Gartner, Inc.</t>
        </is>
      </c>
      <c r="C632" s="49" t="inlineStr">
        <is>
          <t>US</t>
        </is>
      </c>
      <c r="D632" s="49" t="inlineStr">
        <is>
          <t>S&amp;P 500</t>
        </is>
      </c>
      <c r="E632" s="49" t="inlineStr">
        <is>
          <t>Technology</t>
        </is>
      </c>
      <c r="F632" s="50" t="n">
        <v>12185227264</v>
      </c>
      <c r="G632" s="49" t="inlineStr">
        <is>
          <t>nightly refresh</t>
        </is>
      </c>
      <c r="H632" s="48" t="n">
        <v>472</v>
      </c>
      <c r="I632" s="49" t="inlineStr">
        <is>
          <t>No</t>
        </is>
      </c>
      <c r="J632" s="49" t="inlineStr">
        <is>
          <t>1993-10-05</t>
        </is>
      </c>
      <c r="K632" s="48" t="n">
        <v>6701</v>
      </c>
      <c r="L632" s="49" t="inlineStr">
        <is>
          <t>2000-01-03</t>
        </is>
      </c>
      <c r="M632" s="49" t="inlineStr">
        <is>
          <t>2026-08-25</t>
        </is>
      </c>
      <c r="N632" s="48" t="n">
        <v>329</v>
      </c>
      <c r="O632" s="51" t="n">
        <v>-22.1308</v>
      </c>
      <c r="P632" s="51" t="n">
        <v>-73.1742</v>
      </c>
      <c r="Q632" s="51" t="n">
        <v>55.2193</v>
      </c>
      <c r="R632" s="51" t="n">
        <v>-26.3532</v>
      </c>
      <c r="S632" s="52">
        <f>IF($I632="Yes",$O632,"")</f>
        <v/>
      </c>
    </row>
    <row r="633">
      <c r="A633" s="43" t="inlineStr">
        <is>
          <t>JBL</t>
        </is>
      </c>
      <c r="B633" s="44" t="inlineStr">
        <is>
          <t>Jabil Inc.</t>
        </is>
      </c>
      <c r="C633" s="44" t="inlineStr">
        <is>
          <t>US</t>
        </is>
      </c>
      <c r="D633" s="44" t="inlineStr">
        <is>
          <t>S&amp;P 500</t>
        </is>
      </c>
      <c r="E633" s="44" t="inlineStr">
        <is>
          <t>Technology</t>
        </is>
      </c>
      <c r="F633" s="45" t="n">
        <v>32579354624</v>
      </c>
      <c r="G633" s="44" t="inlineStr">
        <is>
          <t>nightly refresh</t>
        </is>
      </c>
      <c r="H633" s="43" t="n">
        <v>309</v>
      </c>
      <c r="I633" s="44" t="inlineStr">
        <is>
          <t>No</t>
        </is>
      </c>
      <c r="J633" s="44" t="inlineStr">
        <is>
          <t>1993-05-03</t>
        </is>
      </c>
      <c r="K633" s="43" t="n">
        <v>6701</v>
      </c>
      <c r="L633" s="44" t="inlineStr">
        <is>
          <t>2000-01-03</t>
        </is>
      </c>
      <c r="M633" s="44" t="inlineStr">
        <is>
          <t>2026-08-25</t>
        </is>
      </c>
      <c r="N633" s="43" t="n">
        <v>365</v>
      </c>
      <c r="O633" s="46" t="n">
        <v>-26.4299</v>
      </c>
      <c r="P633" s="46" t="n">
        <v>-82.7816</v>
      </c>
      <c r="Q633" s="46" t="n">
        <v>71.2966</v>
      </c>
      <c r="R633" s="46" t="n">
        <v>-28.0349</v>
      </c>
      <c r="S633" s="47">
        <f>IF($I633="Yes",$O633,"")</f>
        <v/>
      </c>
    </row>
    <row r="634">
      <c r="A634" s="48" t="inlineStr">
        <is>
          <t>JKHY</t>
        </is>
      </c>
      <c r="B634" s="49" t="inlineStr">
        <is>
          <t>Jack Henry &amp; Associates, Inc.</t>
        </is>
      </c>
      <c r="C634" s="49" t="inlineStr">
        <is>
          <t>US</t>
        </is>
      </c>
      <c r="D634" s="49" t="inlineStr">
        <is>
          <t>S&amp;P 500</t>
        </is>
      </c>
      <c r="E634" s="49" t="inlineStr">
        <is>
          <t>Technology</t>
        </is>
      </c>
      <c r="F634" s="50" t="n">
        <v>12248444928</v>
      </c>
      <c r="G634" s="49" t="inlineStr">
        <is>
          <t>nightly refresh</t>
        </is>
      </c>
      <c r="H634" s="48" t="n">
        <v>470</v>
      </c>
      <c r="I634" s="49" t="inlineStr">
        <is>
          <t>No</t>
        </is>
      </c>
      <c r="J634" s="49" t="inlineStr">
        <is>
          <t>1985-11-20</t>
        </is>
      </c>
      <c r="K634" s="48" t="n">
        <v>6701</v>
      </c>
      <c r="L634" s="49" t="inlineStr">
        <is>
          <t>2000-01-03</t>
        </is>
      </c>
      <c r="M634" s="49" t="inlineStr">
        <is>
          <t>2026-08-25</t>
        </is>
      </c>
      <c r="N634" s="48" t="n">
        <v>325</v>
      </c>
      <c r="O634" s="51" t="n">
        <v>-18.2838</v>
      </c>
      <c r="P634" s="51" t="n">
        <v>-69.0996</v>
      </c>
      <c r="Q634" s="51" t="n">
        <v>38.9346</v>
      </c>
      <c r="R634" s="51" t="n">
        <v>-9.4915</v>
      </c>
      <c r="S634" s="52">
        <f>IF($I634="Yes",$O634,"")</f>
        <v/>
      </c>
    </row>
    <row r="635">
      <c r="A635" s="43" t="inlineStr">
        <is>
          <t>KEYS</t>
        </is>
      </c>
      <c r="B635" s="44" t="inlineStr">
        <is>
          <t>Keysight Technologies, Inc.</t>
        </is>
      </c>
      <c r="C635" s="44" t="inlineStr">
        <is>
          <t>US</t>
        </is>
      </c>
      <c r="D635" s="44" t="inlineStr">
        <is>
          <t>S&amp;P 500</t>
        </is>
      </c>
      <c r="E635" s="44" t="inlineStr">
        <is>
          <t>Technology</t>
        </is>
      </c>
      <c r="F635" s="45" t="n">
        <v>54814461952</v>
      </c>
      <c r="G635" s="44" t="inlineStr">
        <is>
          <t>nightly refresh</t>
        </is>
      </c>
      <c r="H635" s="43" t="n">
        <v>227</v>
      </c>
      <c r="I635" s="44" t="inlineStr">
        <is>
          <t>No</t>
        </is>
      </c>
      <c r="J635" s="44" t="inlineStr">
        <is>
          <t>2014-10-20</t>
        </is>
      </c>
      <c r="K635" s="43" t="n">
        <v>2979</v>
      </c>
      <c r="L635" s="44" t="inlineStr">
        <is>
          <t>2014-10-20</t>
        </is>
      </c>
      <c r="M635" s="44" t="inlineStr">
        <is>
          <t>2026-08-25</t>
        </is>
      </c>
      <c r="N635" s="43" t="n">
        <v>163</v>
      </c>
      <c r="O635" s="46" t="n">
        <v>-16.3741</v>
      </c>
      <c r="P635" s="46" t="n">
        <v>-45.6784</v>
      </c>
      <c r="Q635" s="46" t="n">
        <v>50.2593</v>
      </c>
      <c r="R635" s="46" t="n">
        <v>-14.6262</v>
      </c>
      <c r="S635" s="47">
        <f>IF($I635="Yes",$O635,"")</f>
        <v/>
      </c>
    </row>
    <row r="636">
      <c r="A636" s="48" t="inlineStr">
        <is>
          <t>KLAC</t>
        </is>
      </c>
      <c r="B636" s="49" t="inlineStr">
        <is>
          <t>KLA Corporation</t>
        </is>
      </c>
      <c r="C636" s="49" t="inlineStr">
        <is>
          <t>US</t>
        </is>
      </c>
      <c r="D636" s="49" t="inlineStr">
        <is>
          <t>S&amp;P 500</t>
        </is>
      </c>
      <c r="E636" s="49" t="inlineStr">
        <is>
          <t>Technology</t>
        </is>
      </c>
      <c r="F636" s="50" t="n">
        <v>240182509568</v>
      </c>
      <c r="G636" s="49" t="inlineStr">
        <is>
          <t>nightly refresh</t>
        </is>
      </c>
      <c r="H636" s="48" t="n">
        <v>47</v>
      </c>
      <c r="I636" s="49" t="inlineStr">
        <is>
          <t>Yes</t>
        </is>
      </c>
      <c r="J636" s="49" t="inlineStr">
        <is>
          <t>1980-10-08</t>
        </is>
      </c>
      <c r="K636" s="48" t="n">
        <v>6701</v>
      </c>
      <c r="L636" s="49" t="inlineStr">
        <is>
          <t>2000-01-03</t>
        </is>
      </c>
      <c r="M636" s="49" t="inlineStr">
        <is>
          <t>2026-08-25</t>
        </is>
      </c>
      <c r="N636" s="48" t="n">
        <v>382</v>
      </c>
      <c r="O636" s="51" t="n">
        <v>-21.5681</v>
      </c>
      <c r="P636" s="51" t="n">
        <v>-73.14579999999999</v>
      </c>
      <c r="Q636" s="51" t="n">
        <v>61.5453</v>
      </c>
      <c r="R636" s="51" t="n">
        <v>-40.352</v>
      </c>
      <c r="S636" s="52">
        <f>IF($I636="Yes",$O636,"")</f>
        <v/>
      </c>
    </row>
    <row r="637">
      <c r="A637" s="43" t="inlineStr">
        <is>
          <t>LDOS</t>
        </is>
      </c>
      <c r="B637" s="44" t="inlineStr">
        <is>
          <t>Leidos Holdings, Inc.</t>
        </is>
      </c>
      <c r="C637" s="44" t="inlineStr">
        <is>
          <t>US</t>
        </is>
      </c>
      <c r="D637" s="44" t="inlineStr">
        <is>
          <t>S&amp;P 500</t>
        </is>
      </c>
      <c r="E637" s="44" t="inlineStr">
        <is>
          <t>Technology</t>
        </is>
      </c>
      <c r="F637" s="45" t="n">
        <v>17246392320</v>
      </c>
      <c r="G637" s="44" t="inlineStr">
        <is>
          <t>nightly refresh</t>
        </is>
      </c>
      <c r="H637" s="43" t="n">
        <v>428</v>
      </c>
      <c r="I637" s="44" t="inlineStr">
        <is>
          <t>No</t>
        </is>
      </c>
      <c r="J637" s="44" t="inlineStr">
        <is>
          <t>2006-10-17</t>
        </is>
      </c>
      <c r="K637" s="43" t="n">
        <v>4994</v>
      </c>
      <c r="L637" s="44" t="inlineStr">
        <is>
          <t>2006-10-17</t>
        </is>
      </c>
      <c r="M637" s="44" t="inlineStr">
        <is>
          <t>2026-08-25</t>
        </is>
      </c>
      <c r="N637" s="43" t="n">
        <v>246</v>
      </c>
      <c r="O637" s="46" t="n">
        <v>-17.6727</v>
      </c>
      <c r="P637" s="46" t="n">
        <v>-51.1709</v>
      </c>
      <c r="Q637" s="46" t="n">
        <v>35.3091</v>
      </c>
      <c r="R637" s="46" t="n">
        <v>-34.3053</v>
      </c>
      <c r="S637" s="47">
        <f>IF($I637="Yes",$O637,"")</f>
        <v/>
      </c>
    </row>
    <row r="638">
      <c r="A638" s="48" t="inlineStr">
        <is>
          <t>LITE</t>
        </is>
      </c>
      <c r="B638" s="49" t="inlineStr">
        <is>
          <t>Lumentum Holdings Inc.</t>
        </is>
      </c>
      <c r="C638" s="49" t="inlineStr">
        <is>
          <t>US</t>
        </is>
      </c>
      <c r="D638" s="49" t="inlineStr">
        <is>
          <t>S&amp;P 500</t>
        </is>
      </c>
      <c r="E638" s="49" t="inlineStr">
        <is>
          <t>Technology</t>
        </is>
      </c>
      <c r="F638" s="50" t="n">
        <v>84230995968</v>
      </c>
      <c r="G638" s="49" t="inlineStr">
        <is>
          <t>nightly refresh</t>
        </is>
      </c>
      <c r="H638" s="48" t="n">
        <v>152</v>
      </c>
      <c r="I638" s="49" t="inlineStr">
        <is>
          <t>No</t>
        </is>
      </c>
      <c r="J638" s="49" t="inlineStr">
        <is>
          <t>2015-07-23</t>
        </is>
      </c>
      <c r="K638" s="48" t="n">
        <v>2789</v>
      </c>
      <c r="L638" s="49" t="inlineStr">
        <is>
          <t>2015-07-23</t>
        </is>
      </c>
      <c r="M638" s="49" t="inlineStr">
        <is>
          <t>2026-08-25</t>
        </is>
      </c>
      <c r="N638" s="48" t="n">
        <v>166</v>
      </c>
      <c r="O638" s="51" t="n">
        <v>-26.1116</v>
      </c>
      <c r="P638" s="51" t="n">
        <v>-56.2306</v>
      </c>
      <c r="Q638" s="51" t="n">
        <v>158.9837</v>
      </c>
      <c r="R638" s="51" t="n">
        <v>-18.4322</v>
      </c>
      <c r="S638" s="52">
        <f>IF($I638="Yes",$O638,"")</f>
        <v/>
      </c>
    </row>
    <row r="639">
      <c r="A639" s="43" t="inlineStr">
        <is>
          <t>LRCX</t>
        </is>
      </c>
      <c r="B639" s="44" t="inlineStr">
        <is>
          <t>Lam Research Corporation</t>
        </is>
      </c>
      <c r="C639" s="44" t="inlineStr">
        <is>
          <t>US</t>
        </is>
      </c>
      <c r="D639" s="44" t="inlineStr">
        <is>
          <t>S&amp;P 500</t>
        </is>
      </c>
      <c r="E639" s="44" t="inlineStr">
        <is>
          <t>Technology</t>
        </is>
      </c>
      <c r="F639" s="45" t="n">
        <v>391513309184</v>
      </c>
      <c r="G639" s="44" t="inlineStr">
        <is>
          <t>nightly refresh</t>
        </is>
      </c>
      <c r="H639" s="43" t="n">
        <v>28</v>
      </c>
      <c r="I639" s="44" t="inlineStr">
        <is>
          <t>Yes</t>
        </is>
      </c>
      <c r="J639" s="44" t="inlineStr">
        <is>
          <t>1984-05-04</t>
        </is>
      </c>
      <c r="K639" s="43" t="n">
        <v>6701</v>
      </c>
      <c r="L639" s="44" t="inlineStr">
        <is>
          <t>2000-01-03</t>
        </is>
      </c>
      <c r="M639" s="44" t="inlineStr">
        <is>
          <t>2026-08-25</t>
        </is>
      </c>
      <c r="N639" s="43" t="n">
        <v>385</v>
      </c>
      <c r="O639" s="46" t="n">
        <v>-24.9098</v>
      </c>
      <c r="P639" s="46" t="n">
        <v>-77.5851</v>
      </c>
      <c r="Q639" s="46" t="n">
        <v>75.9451</v>
      </c>
      <c r="R639" s="46" t="n">
        <v>-28.2417</v>
      </c>
      <c r="S639" s="47">
        <f>IF($I639="Yes",$O639,"")</f>
        <v/>
      </c>
    </row>
    <row r="640">
      <c r="A640" s="48" t="inlineStr">
        <is>
          <t>MCHP</t>
        </is>
      </c>
      <c r="B640" s="49" t="inlineStr">
        <is>
          <t>Microchip Technology Incorporated</t>
        </is>
      </c>
      <c r="C640" s="49" t="inlineStr">
        <is>
          <t>US</t>
        </is>
      </c>
      <c r="D640" s="49" t="inlineStr">
        <is>
          <t>S&amp;P 500</t>
        </is>
      </c>
      <c r="E640" s="49" t="inlineStr">
        <is>
          <t>Technology</t>
        </is>
      </c>
      <c r="F640" s="50" t="n">
        <v>40209797120</v>
      </c>
      <c r="G640" s="49" t="inlineStr">
        <is>
          <t>nightly refresh</t>
        </is>
      </c>
      <c r="H640" s="48" t="n">
        <v>273</v>
      </c>
      <c r="I640" s="49" t="inlineStr">
        <is>
          <t>No</t>
        </is>
      </c>
      <c r="J640" s="49" t="inlineStr">
        <is>
          <t>1993-03-19</t>
        </is>
      </c>
      <c r="K640" s="48" t="n">
        <v>6701</v>
      </c>
      <c r="L640" s="49" t="inlineStr">
        <is>
          <t>2000-01-03</t>
        </is>
      </c>
      <c r="M640" s="49" t="inlineStr">
        <is>
          <t>2026-08-25</t>
        </is>
      </c>
      <c r="N640" s="48" t="n">
        <v>392</v>
      </c>
      <c r="O640" s="51" t="n">
        <v>-20.0007</v>
      </c>
      <c r="P640" s="51" t="n">
        <v>-64.1561</v>
      </c>
      <c r="Q640" s="51" t="n">
        <v>51.4095</v>
      </c>
      <c r="R640" s="51" t="n">
        <v>-30.2531</v>
      </c>
      <c r="S640" s="52">
        <f>IF($I640="Yes",$O640,"")</f>
        <v/>
      </c>
    </row>
    <row r="641">
      <c r="A641" s="43" t="inlineStr">
        <is>
          <t>MPWR</t>
        </is>
      </c>
      <c r="B641" s="44" t="inlineStr">
        <is>
          <t>Monolithic Power Systems, Inc.</t>
        </is>
      </c>
      <c r="C641" s="44" t="inlineStr">
        <is>
          <t>US</t>
        </is>
      </c>
      <c r="D641" s="44" t="inlineStr">
        <is>
          <t>S&amp;P 500</t>
        </is>
      </c>
      <c r="E641" s="44" t="inlineStr">
        <is>
          <t>Technology</t>
        </is>
      </c>
      <c r="F641" s="45" t="n">
        <v>64076574720</v>
      </c>
      <c r="G641" s="44" t="inlineStr">
        <is>
          <t>nightly refresh</t>
        </is>
      </c>
      <c r="H641" s="43" t="n">
        <v>196</v>
      </c>
      <c r="I641" s="44" t="inlineStr">
        <is>
          <t>No</t>
        </is>
      </c>
      <c r="J641" s="44" t="inlineStr">
        <is>
          <t>2004-11-19</t>
        </is>
      </c>
      <c r="K641" s="43" t="n">
        <v>5474</v>
      </c>
      <c r="L641" s="44" t="inlineStr">
        <is>
          <t>2004-11-19</t>
        </is>
      </c>
      <c r="M641" s="44" t="inlineStr">
        <is>
          <t>2026-08-25</t>
        </is>
      </c>
      <c r="N641" s="43" t="n">
        <v>308</v>
      </c>
      <c r="O641" s="46" t="n">
        <v>-22.5011</v>
      </c>
      <c r="P641" s="46" t="n">
        <v>-73.3746</v>
      </c>
      <c r="Q641" s="46" t="n">
        <v>80.5359</v>
      </c>
      <c r="R641" s="46" t="n">
        <v>-23.9159</v>
      </c>
      <c r="S641" s="47">
        <f>IF($I641="Yes",$O641,"")</f>
        <v/>
      </c>
    </row>
    <row r="642">
      <c r="A642" s="48" t="inlineStr">
        <is>
          <t>MRVL</t>
        </is>
      </c>
      <c r="B642" s="49" t="inlineStr">
        <is>
          <t>Marvell Technology, Inc.</t>
        </is>
      </c>
      <c r="C642" s="49" t="inlineStr">
        <is>
          <t>US</t>
        </is>
      </c>
      <c r="D642" s="49" t="inlineStr">
        <is>
          <t>S&amp;P 500</t>
        </is>
      </c>
      <c r="E642" s="49" t="inlineStr">
        <is>
          <t>Technology</t>
        </is>
      </c>
      <c r="F642" s="50" t="n">
        <v>220281487360</v>
      </c>
      <c r="G642" s="49" t="inlineStr">
        <is>
          <t>nightly refresh</t>
        </is>
      </c>
      <c r="H642" s="48" t="n">
        <v>54</v>
      </c>
      <c r="I642" s="49" t="inlineStr">
        <is>
          <t>Yes</t>
        </is>
      </c>
      <c r="J642" s="49" t="inlineStr">
        <is>
          <t>2000-06-30</t>
        </is>
      </c>
      <c r="K642" s="48" t="n">
        <v>6576</v>
      </c>
      <c r="L642" s="49" t="inlineStr">
        <is>
          <t>2000-06-30</t>
        </is>
      </c>
      <c r="M642" s="49" t="inlineStr">
        <is>
          <t>2026-08-25</t>
        </is>
      </c>
      <c r="N642" s="48" t="n">
        <v>390</v>
      </c>
      <c r="O642" s="51" t="n">
        <v>-29.837</v>
      </c>
      <c r="P642" s="51" t="n">
        <v>-92.22669999999999</v>
      </c>
      <c r="Q642" s="51" t="n">
        <v>88.105</v>
      </c>
      <c r="R642" s="51" t="n">
        <v>-27.1131</v>
      </c>
      <c r="S642" s="52">
        <f>IF($I642="Yes",$O642,"")</f>
        <v/>
      </c>
    </row>
    <row r="643">
      <c r="A643" s="43" t="inlineStr">
        <is>
          <t>MSFT</t>
        </is>
      </c>
      <c r="B643" s="44" t="inlineStr">
        <is>
          <t>Microsoft Corporation</t>
        </is>
      </c>
      <c r="C643" s="44" t="inlineStr">
        <is>
          <t>US</t>
        </is>
      </c>
      <c r="D643" s="44" t="inlineStr">
        <is>
          <t>S&amp;P 500</t>
        </is>
      </c>
      <c r="E643" s="44" t="inlineStr">
        <is>
          <t>Technology</t>
        </is>
      </c>
      <c r="F643" s="45" t="n">
        <v>3685818040320</v>
      </c>
      <c r="G643" s="44" t="inlineStr">
        <is>
          <t>nightly refresh</t>
        </is>
      </c>
      <c r="H643" s="43" t="n">
        <v>5</v>
      </c>
      <c r="I643" s="44" t="inlineStr">
        <is>
          <t>Yes</t>
        </is>
      </c>
      <c r="J643" s="44" t="inlineStr">
        <is>
          <t>1986-03-13</t>
        </is>
      </c>
      <c r="K643" s="43" t="n">
        <v>6701</v>
      </c>
      <c r="L643" s="44" t="inlineStr">
        <is>
          <t>2000-01-03</t>
        </is>
      </c>
      <c r="M643" s="44" t="inlineStr">
        <is>
          <t>2026-08-25</t>
        </is>
      </c>
      <c r="N643" s="43" t="n">
        <v>302</v>
      </c>
      <c r="O643" s="46" t="n">
        <v>-17.7449</v>
      </c>
      <c r="P643" s="46" t="n">
        <v>-65.0158</v>
      </c>
      <c r="Q643" s="46" t="n">
        <v>37.5247</v>
      </c>
      <c r="R643" s="46" t="n">
        <v>-10.6364</v>
      </c>
      <c r="S643" s="47">
        <f>IF($I643="Yes",$O643,"")</f>
        <v/>
      </c>
    </row>
    <row r="644">
      <c r="A644" s="48" t="inlineStr">
        <is>
          <t>MSI</t>
        </is>
      </c>
      <c r="B644" s="49" t="inlineStr">
        <is>
          <t>Motorola Solutions, Inc.</t>
        </is>
      </c>
      <c r="C644" s="49" t="inlineStr">
        <is>
          <t>US</t>
        </is>
      </c>
      <c r="D644" s="49" t="inlineStr">
        <is>
          <t>S&amp;P 500</t>
        </is>
      </c>
      <c r="E644" s="49" t="inlineStr">
        <is>
          <t>Technology</t>
        </is>
      </c>
      <c r="F644" s="50" t="n">
        <v>80641818624</v>
      </c>
      <c r="G644" s="49" t="inlineStr">
        <is>
          <t>nightly refresh</t>
        </is>
      </c>
      <c r="H644" s="48" t="n">
        <v>161</v>
      </c>
      <c r="I644" s="49" t="inlineStr">
        <is>
          <t>No</t>
        </is>
      </c>
      <c r="J644" s="49" t="inlineStr">
        <is>
          <t>1962-01-02</t>
        </is>
      </c>
      <c r="K644" s="48" t="n">
        <v>6701</v>
      </c>
      <c r="L644" s="49" t="inlineStr">
        <is>
          <t>2000-01-03</t>
        </is>
      </c>
      <c r="M644" s="49" t="inlineStr">
        <is>
          <t>2026-08-25</t>
        </is>
      </c>
      <c r="N644" s="48" t="n">
        <v>332</v>
      </c>
      <c r="O644" s="51" t="n">
        <v>-23.1824</v>
      </c>
      <c r="P644" s="51" t="n">
        <v>-80.7611</v>
      </c>
      <c r="Q644" s="51" t="n">
        <v>44.7386</v>
      </c>
      <c r="R644" s="51" t="n">
        <v>-1.6573</v>
      </c>
      <c r="S644" s="52">
        <f>IF($I644="Yes",$O644,"")</f>
        <v/>
      </c>
    </row>
    <row r="645">
      <c r="A645" s="43" t="inlineStr">
        <is>
          <t>MU</t>
        </is>
      </c>
      <c r="B645" s="44" t="inlineStr">
        <is>
          <t>Micron Technology, Inc.</t>
        </is>
      </c>
      <c r="C645" s="44" t="inlineStr">
        <is>
          <t>US</t>
        </is>
      </c>
      <c r="D645" s="44" t="inlineStr">
        <is>
          <t>S&amp;P 500</t>
        </is>
      </c>
      <c r="E645" s="44" t="inlineStr">
        <is>
          <t>Technology</t>
        </is>
      </c>
      <c r="F645" s="45" t="n">
        <v>1056423076057.735</v>
      </c>
      <c r="G645" s="44" t="inlineStr">
        <is>
          <t>re-fetched 28 Aug 2026</t>
        </is>
      </c>
      <c r="H645" s="43" t="n">
        <v>12</v>
      </c>
      <c r="I645" s="44" t="inlineStr">
        <is>
          <t>Yes</t>
        </is>
      </c>
      <c r="J645" s="44" t="inlineStr">
        <is>
          <t>1984-06-01</t>
        </is>
      </c>
      <c r="K645" s="43" t="n">
        <v>6701</v>
      </c>
      <c r="L645" s="44" t="inlineStr">
        <is>
          <t>2000-01-03</t>
        </is>
      </c>
      <c r="M645" s="44" t="inlineStr">
        <is>
          <t>2026-08-25</t>
        </is>
      </c>
      <c r="N645" s="43" t="n">
        <v>379</v>
      </c>
      <c r="O645" s="46" t="n">
        <v>-32.2596</v>
      </c>
      <c r="P645" s="46" t="n">
        <v>-82.8861</v>
      </c>
      <c r="Q645" s="46" t="n">
        <v>103.7084</v>
      </c>
      <c r="R645" s="46" t="n">
        <v>-25.6483</v>
      </c>
      <c r="S645" s="47">
        <f>IF($I645="Yes",$O645,"")</f>
        <v/>
      </c>
    </row>
    <row r="646">
      <c r="A646" s="48" t="inlineStr">
        <is>
          <t>NOW</t>
        </is>
      </c>
      <c r="B646" s="49" t="inlineStr">
        <is>
          <t>ServiceNow, Inc.</t>
        </is>
      </c>
      <c r="C646" s="49" t="inlineStr">
        <is>
          <t>US</t>
        </is>
      </c>
      <c r="D646" s="49" t="inlineStr">
        <is>
          <t>S&amp;P 500</t>
        </is>
      </c>
      <c r="E646" s="49" t="inlineStr">
        <is>
          <t>Technology</t>
        </is>
      </c>
      <c r="F646" s="50" t="n">
        <v>130059845632</v>
      </c>
      <c r="G646" s="49" t="inlineStr">
        <is>
          <t>nightly refresh</t>
        </is>
      </c>
      <c r="H646" s="48" t="n">
        <v>98</v>
      </c>
      <c r="I646" s="49" t="inlineStr">
        <is>
          <t>No</t>
        </is>
      </c>
      <c r="J646" s="49" t="inlineStr">
        <is>
          <t>2012-06-29</t>
        </is>
      </c>
      <c r="K646" s="48" t="n">
        <v>3558</v>
      </c>
      <c r="L646" s="49" t="inlineStr">
        <is>
          <t>2012-06-29</t>
        </is>
      </c>
      <c r="M646" s="49" t="inlineStr">
        <is>
          <t>2026-08-25</t>
        </is>
      </c>
      <c r="N646" s="48" t="n">
        <v>197</v>
      </c>
      <c r="O646" s="51" t="n">
        <v>-20.3135</v>
      </c>
      <c r="P646" s="51" t="n">
        <v>-60.7524</v>
      </c>
      <c r="Q646" s="51" t="n">
        <v>65.761</v>
      </c>
      <c r="R646" s="51" t="n">
        <v>-34.7802</v>
      </c>
      <c r="S646" s="52">
        <f>IF($I646="Yes",$O646,"")</f>
        <v/>
      </c>
    </row>
    <row r="647">
      <c r="A647" s="43" t="inlineStr">
        <is>
          <t>NTAP</t>
        </is>
      </c>
      <c r="B647" s="44" t="inlineStr">
        <is>
          <t>NetApp, Inc.</t>
        </is>
      </c>
      <c r="C647" s="44" t="inlineStr">
        <is>
          <t>US</t>
        </is>
      </c>
      <c r="D647" s="44" t="inlineStr">
        <is>
          <t>S&amp;P 500</t>
        </is>
      </c>
      <c r="E647" s="44" t="inlineStr">
        <is>
          <t>Technology</t>
        </is>
      </c>
      <c r="F647" s="45" t="n">
        <v>38040014848</v>
      </c>
      <c r="G647" s="44" t="inlineStr">
        <is>
          <t>nightly refresh</t>
        </is>
      </c>
      <c r="H647" s="43" t="n">
        <v>280</v>
      </c>
      <c r="I647" s="44" t="inlineStr">
        <is>
          <t>No</t>
        </is>
      </c>
      <c r="J647" s="44" t="inlineStr">
        <is>
          <t>1995-11-21</t>
        </is>
      </c>
      <c r="K647" s="43" t="n">
        <v>6701</v>
      </c>
      <c r="L647" s="44" t="inlineStr">
        <is>
          <t>2000-01-03</t>
        </is>
      </c>
      <c r="M647" s="44" t="inlineStr">
        <is>
          <t>2026-08-25</t>
        </is>
      </c>
      <c r="N647" s="43" t="n">
        <v>360</v>
      </c>
      <c r="O647" s="46" t="n">
        <v>-28.4516</v>
      </c>
      <c r="P647" s="46" t="n">
        <v>-95.71850000000001</v>
      </c>
      <c r="Q647" s="46" t="n">
        <v>73.36409999999999</v>
      </c>
      <c r="R647" s="46" t="n">
        <v>-10.3463</v>
      </c>
      <c r="S647" s="47">
        <f>IF($I647="Yes",$O647,"")</f>
        <v/>
      </c>
    </row>
    <row r="648">
      <c r="A648" s="48" t="inlineStr">
        <is>
          <t>NVDA</t>
        </is>
      </c>
      <c r="B648" s="49" t="inlineStr">
        <is>
          <t>NVIDIA Corporation</t>
        </is>
      </c>
      <c r="C648" s="49" t="inlineStr">
        <is>
          <t>US</t>
        </is>
      </c>
      <c r="D648" s="49" t="inlineStr">
        <is>
          <t>S&amp;P 500</t>
        </is>
      </c>
      <c r="E648" s="49" t="inlineStr">
        <is>
          <t>Technology</t>
        </is>
      </c>
      <c r="F648" s="50" t="n">
        <v>5078174924800</v>
      </c>
      <c r="G648" s="49" t="inlineStr">
        <is>
          <t>nightly refresh</t>
        </is>
      </c>
      <c r="H648" s="48" t="n">
        <v>1</v>
      </c>
      <c r="I648" s="49" t="inlineStr">
        <is>
          <t>Yes</t>
        </is>
      </c>
      <c r="J648" s="49" t="inlineStr">
        <is>
          <t>1999-01-22</t>
        </is>
      </c>
      <c r="K648" s="48" t="n">
        <v>6701</v>
      </c>
      <c r="L648" s="49" t="inlineStr">
        <is>
          <t>2000-01-03</t>
        </is>
      </c>
      <c r="M648" s="49" t="inlineStr">
        <is>
          <t>2026-08-25</t>
        </is>
      </c>
      <c r="N648" s="48" t="n">
        <v>374</v>
      </c>
      <c r="O648" s="51" t="n">
        <v>-27.0061</v>
      </c>
      <c r="P648" s="51" t="n">
        <v>-89.85680000000001</v>
      </c>
      <c r="Q648" s="51" t="n">
        <v>124.9668</v>
      </c>
      <c r="R648" s="51" t="n">
        <v>-9.825699999999999</v>
      </c>
      <c r="S648" s="52">
        <f>IF($I648="Yes",$O648,"")</f>
        <v/>
      </c>
    </row>
    <row r="649">
      <c r="A649" s="43" t="inlineStr">
        <is>
          <t>NXPI</t>
        </is>
      </c>
      <c r="B649" s="44" t="inlineStr">
        <is>
          <t>NXP Semiconductors N.V.</t>
        </is>
      </c>
      <c r="C649" s="44" t="inlineStr">
        <is>
          <t>US</t>
        </is>
      </c>
      <c r="D649" s="44" t="inlineStr">
        <is>
          <t>S&amp;P 500</t>
        </is>
      </c>
      <c r="E649" s="44" t="inlineStr">
        <is>
          <t>Technology</t>
        </is>
      </c>
      <c r="F649" s="45" t="n">
        <v>56270434304</v>
      </c>
      <c r="G649" s="44" t="inlineStr">
        <is>
          <t>nightly refresh</t>
        </is>
      </c>
      <c r="H649" s="43" t="n">
        <v>218</v>
      </c>
      <c r="I649" s="44" t="inlineStr">
        <is>
          <t>No</t>
        </is>
      </c>
      <c r="J649" s="44" t="inlineStr">
        <is>
          <t>2010-08-06</t>
        </is>
      </c>
      <c r="K649" s="43" t="n">
        <v>4037</v>
      </c>
      <c r="L649" s="44" t="inlineStr">
        <is>
          <t>2010-08-06</t>
        </is>
      </c>
      <c r="M649" s="44" t="inlineStr">
        <is>
          <t>2026-08-25</t>
        </is>
      </c>
      <c r="N649" s="43" t="n">
        <v>227</v>
      </c>
      <c r="O649" s="46" t="n">
        <v>-20.4588</v>
      </c>
      <c r="P649" s="46" t="n">
        <v>-61.2684</v>
      </c>
      <c r="Q649" s="46" t="n">
        <v>67.3596</v>
      </c>
      <c r="R649" s="46" t="n">
        <v>-33.6631</v>
      </c>
      <c r="S649" s="47">
        <f>IF($I649="Yes",$O649,"")</f>
        <v/>
      </c>
    </row>
    <row r="650">
      <c r="A650" s="48" t="inlineStr">
        <is>
          <t>ON</t>
        </is>
      </c>
      <c r="B650" s="49" t="inlineStr">
        <is>
          <t>ON Semiconductor Corporation</t>
        </is>
      </c>
      <c r="C650" s="49" t="inlineStr">
        <is>
          <t>US</t>
        </is>
      </c>
      <c r="D650" s="49" t="inlineStr">
        <is>
          <t>S&amp;P 500</t>
        </is>
      </c>
      <c r="E650" s="49" t="inlineStr">
        <is>
          <t>Technology</t>
        </is>
      </c>
      <c r="F650" s="50" t="n">
        <v>28505909248</v>
      </c>
      <c r="G650" s="49" t="inlineStr">
        <is>
          <t>nightly refresh</t>
        </is>
      </c>
      <c r="H650" s="48" t="n">
        <v>329</v>
      </c>
      <c r="I650" s="49" t="inlineStr">
        <is>
          <t>No</t>
        </is>
      </c>
      <c r="J650" s="49" t="inlineStr">
        <is>
          <t>2000-05-02</t>
        </is>
      </c>
      <c r="K650" s="48" t="n">
        <v>6618</v>
      </c>
      <c r="L650" s="49" t="inlineStr">
        <is>
          <t>2000-05-02</t>
        </is>
      </c>
      <c r="M650" s="49" t="inlineStr">
        <is>
          <t>2026-08-25</t>
        </is>
      </c>
      <c r="N650" s="48" t="n">
        <v>378</v>
      </c>
      <c r="O650" s="51" t="n">
        <v>-32.4699</v>
      </c>
      <c r="P650" s="51" t="n">
        <v>-88.8</v>
      </c>
      <c r="Q650" s="51" t="n">
        <v>96.9045</v>
      </c>
      <c r="R650" s="51" t="n">
        <v>-46.257</v>
      </c>
      <c r="S650" s="52">
        <f>IF($I650="Yes",$O650,"")</f>
        <v/>
      </c>
    </row>
    <row r="651">
      <c r="A651" s="43" t="inlineStr">
        <is>
          <t>ORCL</t>
        </is>
      </c>
      <c r="B651" s="44" t="inlineStr">
        <is>
          <t>Oracle Corporation</t>
        </is>
      </c>
      <c r="C651" s="44" t="inlineStr">
        <is>
          <t>US</t>
        </is>
      </c>
      <c r="D651" s="44" t="inlineStr">
        <is>
          <t>S&amp;P 500</t>
        </is>
      </c>
      <c r="E651" s="44" t="inlineStr">
        <is>
          <t>Technology</t>
        </is>
      </c>
      <c r="F651" s="45" t="n">
        <v>428815712256</v>
      </c>
      <c r="G651" s="44" t="inlineStr">
        <is>
          <t>nightly refresh</t>
        </is>
      </c>
      <c r="H651" s="43" t="n">
        <v>24</v>
      </c>
      <c r="I651" s="44" t="inlineStr">
        <is>
          <t>Yes</t>
        </is>
      </c>
      <c r="J651" s="44" t="inlineStr">
        <is>
          <t>1986-03-12</t>
        </is>
      </c>
      <c r="K651" s="43" t="n">
        <v>6701</v>
      </c>
      <c r="L651" s="44" t="inlineStr">
        <is>
          <t>2000-01-03</t>
        </is>
      </c>
      <c r="M651" s="44" t="inlineStr">
        <is>
          <t>2026-08-25</t>
        </is>
      </c>
      <c r="N651" s="43" t="n">
        <v>363</v>
      </c>
      <c r="O651" s="46" t="n">
        <v>-20.831</v>
      </c>
      <c r="P651" s="46" t="n">
        <v>-76.1962</v>
      </c>
      <c r="Q651" s="46" t="n">
        <v>41.7353</v>
      </c>
      <c r="R651" s="46" t="n">
        <v>-57.7975</v>
      </c>
      <c r="S651" s="47">
        <f>IF($I651="Yes",$O651,"")</f>
        <v/>
      </c>
    </row>
    <row r="652">
      <c r="A652" s="48" t="inlineStr">
        <is>
          <t>PANW</t>
        </is>
      </c>
      <c r="B652" s="49" t="inlineStr">
        <is>
          <t>Palo Alto Networks, Inc.</t>
        </is>
      </c>
      <c r="C652" s="49" t="inlineStr">
        <is>
          <t>US</t>
        </is>
      </c>
      <c r="D652" s="49" t="inlineStr">
        <is>
          <t>S&amp;P 500</t>
        </is>
      </c>
      <c r="E652" s="49" t="inlineStr">
        <is>
          <t>Technology</t>
        </is>
      </c>
      <c r="F652" s="50" t="n">
        <v>276537638912</v>
      </c>
      <c r="G652" s="49" t="inlineStr">
        <is>
          <t>nightly refresh</t>
        </is>
      </c>
      <c r="H652" s="48" t="n">
        <v>43</v>
      </c>
      <c r="I652" s="49" t="inlineStr">
        <is>
          <t>Yes</t>
        </is>
      </c>
      <c r="J652" s="49" t="inlineStr">
        <is>
          <t>2012-07-20</t>
        </is>
      </c>
      <c r="K652" s="48" t="n">
        <v>3544</v>
      </c>
      <c r="L652" s="49" t="inlineStr">
        <is>
          <t>2012-07-20</t>
        </is>
      </c>
      <c r="M652" s="49" t="inlineStr">
        <is>
          <t>2026-08-25</t>
        </is>
      </c>
      <c r="N652" s="48" t="n">
        <v>193</v>
      </c>
      <c r="O652" s="51" t="n">
        <v>-19.3581</v>
      </c>
      <c r="P652" s="51" t="n">
        <v>-47.2024</v>
      </c>
      <c r="Q652" s="51" t="n">
        <v>68.622</v>
      </c>
      <c r="R652" s="51" t="n">
        <v>-14.7864</v>
      </c>
      <c r="S652" s="52">
        <f>IF($I652="Yes",$O652,"")</f>
        <v/>
      </c>
    </row>
    <row r="653">
      <c r="A653" s="43" t="inlineStr">
        <is>
          <t>PAYX</t>
        </is>
      </c>
      <c r="B653" s="44" t="inlineStr">
        <is>
          <t>Paychex, Inc.</t>
        </is>
      </c>
      <c r="C653" s="44" t="inlineStr">
        <is>
          <t>US</t>
        </is>
      </c>
      <c r="D653" s="44" t="inlineStr">
        <is>
          <t>S&amp;P 500</t>
        </is>
      </c>
      <c r="E653" s="44" t="inlineStr">
        <is>
          <t>Technology</t>
        </is>
      </c>
      <c r="F653" s="45" t="n">
        <v>44417671168</v>
      </c>
      <c r="G653" s="44" t="inlineStr">
        <is>
          <t>nightly refresh</t>
        </is>
      </c>
      <c r="H653" s="43" t="n">
        <v>256</v>
      </c>
      <c r="I653" s="44" t="inlineStr">
        <is>
          <t>No</t>
        </is>
      </c>
      <c r="J653" s="44" t="inlineStr">
        <is>
          <t>1983-08-26</t>
        </is>
      </c>
      <c r="K653" s="43" t="n">
        <v>6701</v>
      </c>
      <c r="L653" s="44" t="inlineStr">
        <is>
          <t>2000-01-03</t>
        </is>
      </c>
      <c r="M653" s="44" t="inlineStr">
        <is>
          <t>2026-08-25</t>
        </is>
      </c>
      <c r="N653" s="43" t="n">
        <v>332</v>
      </c>
      <c r="O653" s="46" t="n">
        <v>-17.6344</v>
      </c>
      <c r="P653" s="46" t="n">
        <v>-51.8648</v>
      </c>
      <c r="Q653" s="46" t="n">
        <v>34.23</v>
      </c>
      <c r="R653" s="46" t="n">
        <v>-8.1172</v>
      </c>
      <c r="S653" s="47">
        <f>IF($I653="Yes",$O653,"")</f>
        <v/>
      </c>
    </row>
    <row r="654">
      <c r="A654" s="48" t="inlineStr">
        <is>
          <t>PLTR</t>
        </is>
      </c>
      <c r="B654" s="49" t="inlineStr">
        <is>
          <t>Palantir Technologies Inc.</t>
        </is>
      </c>
      <c r="C654" s="49" t="inlineStr">
        <is>
          <t>US</t>
        </is>
      </c>
      <c r="D654" s="49" t="inlineStr">
        <is>
          <t>S&amp;P 500</t>
        </is>
      </c>
      <c r="E654" s="49" t="inlineStr">
        <is>
          <t>Technology</t>
        </is>
      </c>
      <c r="F654" s="50" t="n">
        <v>426542858240</v>
      </c>
      <c r="G654" s="49" t="inlineStr">
        <is>
          <t>nightly refresh</t>
        </is>
      </c>
      <c r="H654" s="48" t="n">
        <v>25</v>
      </c>
      <c r="I654" s="49" t="inlineStr">
        <is>
          <t>Yes</t>
        </is>
      </c>
      <c r="J654" s="49" t="inlineStr">
        <is>
          <t>2020-09-30</t>
        </is>
      </c>
      <c r="K654" s="48" t="n">
        <v>1482</v>
      </c>
      <c r="L654" s="49" t="inlineStr">
        <is>
          <t>2020-09-30</t>
        </is>
      </c>
      <c r="M654" s="49" t="inlineStr">
        <is>
          <t>2026-08-25</t>
        </is>
      </c>
      <c r="N654" s="48" t="n">
        <v>87</v>
      </c>
      <c r="O654" s="51" t="n">
        <v>-36.3237</v>
      </c>
      <c r="P654" s="51" t="n">
        <v>-77.0912</v>
      </c>
      <c r="Q654" s="51" t="n">
        <v>196.4258</v>
      </c>
      <c r="R654" s="51" t="n">
        <v>-16.7647</v>
      </c>
      <c r="S654" s="52">
        <f>IF($I654="Yes",$O654,"")</f>
        <v/>
      </c>
    </row>
    <row r="655">
      <c r="A655" s="43" t="inlineStr">
        <is>
          <t>PTC</t>
        </is>
      </c>
      <c r="B655" s="44" t="inlineStr">
        <is>
          <t>PTC Inc.</t>
        </is>
      </c>
      <c r="C655" s="44" t="inlineStr">
        <is>
          <t>US</t>
        </is>
      </c>
      <c r="D655" s="44" t="inlineStr">
        <is>
          <t>S&amp;P 500</t>
        </is>
      </c>
      <c r="E655" s="44" t="inlineStr">
        <is>
          <t>Technology</t>
        </is>
      </c>
      <c r="F655" s="45" t="n">
        <v>16450634752</v>
      </c>
      <c r="G655" s="44" t="inlineStr">
        <is>
          <t>nightly refresh</t>
        </is>
      </c>
      <c r="H655" s="43" t="n">
        <v>433</v>
      </c>
      <c r="I655" s="44" t="inlineStr">
        <is>
          <t>No</t>
        </is>
      </c>
      <c r="J655" s="44" t="inlineStr">
        <is>
          <t>1989-12-08</t>
        </is>
      </c>
      <c r="K655" s="43" t="n">
        <v>6701</v>
      </c>
      <c r="L655" s="44" t="inlineStr">
        <is>
          <t>2000-01-03</t>
        </is>
      </c>
      <c r="M655" s="44" t="inlineStr">
        <is>
          <t>2026-08-25</t>
        </is>
      </c>
      <c r="N655" s="43" t="n">
        <v>363</v>
      </c>
      <c r="O655" s="46" t="n">
        <v>-26.1355</v>
      </c>
      <c r="P655" s="46" t="n">
        <v>-83.631</v>
      </c>
      <c r="Q655" s="46" t="n">
        <v>55.864</v>
      </c>
      <c r="R655" s="46" t="n">
        <v>-30.555</v>
      </c>
      <c r="S655" s="47">
        <f>IF($I655="Yes",$O655,"")</f>
        <v/>
      </c>
    </row>
    <row r="656">
      <c r="A656" s="48" t="inlineStr">
        <is>
          <t>QCOM</t>
        </is>
      </c>
      <c r="B656" s="49" t="inlineStr">
        <is>
          <t>QUALCOMM Incorporated</t>
        </is>
      </c>
      <c r="C656" s="49" t="inlineStr">
        <is>
          <t>US</t>
        </is>
      </c>
      <c r="D656" s="49" t="inlineStr">
        <is>
          <t>S&amp;P 500</t>
        </is>
      </c>
      <c r="E656" s="49" t="inlineStr">
        <is>
          <t>Technology</t>
        </is>
      </c>
      <c r="F656" s="50" t="n">
        <v>174862860288</v>
      </c>
      <c r="G656" s="49" t="inlineStr">
        <is>
          <t>nightly refresh</t>
        </is>
      </c>
      <c r="H656" s="48" t="n">
        <v>74</v>
      </c>
      <c r="I656" s="49" t="inlineStr">
        <is>
          <t>No</t>
        </is>
      </c>
      <c r="J656" s="49" t="inlineStr">
        <is>
          <t>1991-12-13</t>
        </is>
      </c>
      <c r="K656" s="48" t="n">
        <v>6701</v>
      </c>
      <c r="L656" s="49" t="inlineStr">
        <is>
          <t>2000-01-03</t>
        </is>
      </c>
      <c r="M656" s="49" t="inlineStr">
        <is>
          <t>2026-08-25</t>
        </is>
      </c>
      <c r="N656" s="48" t="n">
        <v>385</v>
      </c>
      <c r="O656" s="51" t="n">
        <v>-24.822</v>
      </c>
      <c r="P656" s="51" t="n">
        <v>-73.5</v>
      </c>
      <c r="Q656" s="51" t="n">
        <v>45.6976</v>
      </c>
      <c r="R656" s="51" t="n">
        <v>-37.999</v>
      </c>
      <c r="S656" s="52">
        <f>IF($I656="Yes",$O656,"")</f>
        <v/>
      </c>
    </row>
    <row r="657">
      <c r="A657" s="43" t="inlineStr">
        <is>
          <t>ROP</t>
        </is>
      </c>
      <c r="B657" s="44" t="inlineStr">
        <is>
          <t>Roper Technologies, Inc.</t>
        </is>
      </c>
      <c r="C657" s="44" t="inlineStr">
        <is>
          <t>US</t>
        </is>
      </c>
      <c r="D657" s="44" t="inlineStr">
        <is>
          <t>S&amp;P 500</t>
        </is>
      </c>
      <c r="E657" s="44" t="inlineStr">
        <is>
          <t>Technology</t>
        </is>
      </c>
      <c r="F657" s="45" t="n">
        <v>40873750528</v>
      </c>
      <c r="G657" s="44" t="inlineStr">
        <is>
          <t>nightly refresh</t>
        </is>
      </c>
      <c r="H657" s="43" t="n">
        <v>270</v>
      </c>
      <c r="I657" s="44" t="inlineStr">
        <is>
          <t>No</t>
        </is>
      </c>
      <c r="J657" s="44" t="inlineStr">
        <is>
          <t>1992-02-13</t>
        </is>
      </c>
      <c r="K657" s="43" t="n">
        <v>6701</v>
      </c>
      <c r="L657" s="44" t="inlineStr">
        <is>
          <t>2000-01-03</t>
        </is>
      </c>
      <c r="M657" s="44" t="inlineStr">
        <is>
          <t>2026-08-25</t>
        </is>
      </c>
      <c r="N657" s="43" t="n">
        <v>319</v>
      </c>
      <c r="O657" s="46" t="n">
        <v>-15.2915</v>
      </c>
      <c r="P657" s="46" t="n">
        <v>-49.9866</v>
      </c>
      <c r="Q657" s="46" t="n">
        <v>38.3976</v>
      </c>
      <c r="R657" s="46" t="n">
        <v>-22.4775</v>
      </c>
      <c r="S657" s="47">
        <f>IF($I657="Yes",$O657,"")</f>
        <v/>
      </c>
    </row>
    <row r="658">
      <c r="A658" s="48" t="inlineStr">
        <is>
          <t>SMCI</t>
        </is>
      </c>
      <c r="B658" s="49" t="inlineStr">
        <is>
          <t>Super Micro Computer, Inc.</t>
        </is>
      </c>
      <c r="C658" s="49" t="inlineStr">
        <is>
          <t>US</t>
        </is>
      </c>
      <c r="D658" s="49" t="inlineStr">
        <is>
          <t>S&amp;P 500</t>
        </is>
      </c>
      <c r="E658" s="49" t="inlineStr">
        <is>
          <t>Technology</t>
        </is>
      </c>
      <c r="F658" s="50" t="n">
        <v>24186580992</v>
      </c>
      <c r="G658" s="49" t="inlineStr">
        <is>
          <t>nightly refresh</t>
        </is>
      </c>
      <c r="H658" s="48" t="n">
        <v>372</v>
      </c>
      <c r="I658" s="49" t="inlineStr">
        <is>
          <t>No</t>
        </is>
      </c>
      <c r="J658" s="49" t="inlineStr">
        <is>
          <t>2007-03-29</t>
        </is>
      </c>
      <c r="K658" s="48" t="n">
        <v>4883</v>
      </c>
      <c r="L658" s="49" t="inlineStr">
        <is>
          <t>2007-03-29</t>
        </is>
      </c>
      <c r="M658" s="49" t="inlineStr">
        <is>
          <t>2026-08-25</t>
        </is>
      </c>
      <c r="N658" s="48" t="n">
        <v>286</v>
      </c>
      <c r="O658" s="51" t="n">
        <v>-30.8914</v>
      </c>
      <c r="P658" s="51" t="n">
        <v>-85.3458</v>
      </c>
      <c r="Q658" s="51" t="n">
        <v>114.146</v>
      </c>
      <c r="R658" s="51" t="n">
        <v>-34.5696</v>
      </c>
      <c r="S658" s="52">
        <f>IF($I658="Yes",$O658,"")</f>
        <v/>
      </c>
    </row>
    <row r="659">
      <c r="A659" s="43" t="inlineStr">
        <is>
          <t>SNDK</t>
        </is>
      </c>
      <c r="B659" s="44" t="inlineStr">
        <is>
          <t>Sandisk Corporation</t>
        </is>
      </c>
      <c r="C659" s="44" t="inlineStr">
        <is>
          <t>US</t>
        </is>
      </c>
      <c r="D659" s="44" t="inlineStr">
        <is>
          <t>S&amp;P 500</t>
        </is>
      </c>
      <c r="E659" s="44" t="inlineStr">
        <is>
          <t>Technology</t>
        </is>
      </c>
      <c r="F659" s="45" t="n">
        <v>219536261120</v>
      </c>
      <c r="G659" s="44" t="inlineStr">
        <is>
          <t>nightly refresh</t>
        </is>
      </c>
      <c r="H659" s="43" t="n">
        <v>55</v>
      </c>
      <c r="I659" s="44" t="inlineStr">
        <is>
          <t>Yes</t>
        </is>
      </c>
      <c r="J659" s="44" t="inlineStr">
        <is>
          <t>2025-02-13</t>
        </is>
      </c>
      <c r="K659" s="43" t="n">
        <v>384</v>
      </c>
      <c r="L659" s="44" t="inlineStr">
        <is>
          <t>2025-02-13</t>
        </is>
      </c>
      <c r="M659" s="44" t="inlineStr">
        <is>
          <t>2026-08-25</t>
        </is>
      </c>
      <c r="N659" s="43" t="n">
        <v>26</v>
      </c>
      <c r="O659" s="46" t="n">
        <v>-26.8874</v>
      </c>
      <c r="P659" s="46" t="n">
        <v>-56.8512</v>
      </c>
      <c r="Q659" s="46" t="n">
        <v>2200.8906</v>
      </c>
      <c r="R659" s="46" t="n">
        <v>-37.106</v>
      </c>
      <c r="S659" s="47">
        <f>IF($I659="Yes",$O659,"")</f>
        <v/>
      </c>
    </row>
    <row r="660">
      <c r="A660" s="48" t="inlineStr">
        <is>
          <t>SNPS</t>
        </is>
      </c>
      <c r="B660" s="49" t="inlineStr">
        <is>
          <t>Synopsys, Inc.</t>
        </is>
      </c>
      <c r="C660" s="49" t="inlineStr">
        <is>
          <t>US</t>
        </is>
      </c>
      <c r="D660" s="49" t="inlineStr">
        <is>
          <t>S&amp;P 500</t>
        </is>
      </c>
      <c r="E660" s="49" t="inlineStr">
        <is>
          <t>Technology</t>
        </is>
      </c>
      <c r="F660" s="50" t="n">
        <v>78506524672</v>
      </c>
      <c r="G660" s="49" t="inlineStr">
        <is>
          <t>nightly refresh</t>
        </is>
      </c>
      <c r="H660" s="48" t="n">
        <v>168</v>
      </c>
      <c r="I660" s="49" t="inlineStr">
        <is>
          <t>No</t>
        </is>
      </c>
      <c r="J660" s="49" t="inlineStr">
        <is>
          <t>1992-02-26</t>
        </is>
      </c>
      <c r="K660" s="48" t="n">
        <v>6701</v>
      </c>
      <c r="L660" s="49" t="inlineStr">
        <is>
          <t>2000-01-03</t>
        </is>
      </c>
      <c r="M660" s="49" t="inlineStr">
        <is>
          <t>2026-08-25</t>
        </is>
      </c>
      <c r="N660" s="48" t="n">
        <v>336</v>
      </c>
      <c r="O660" s="51" t="n">
        <v>-19.1322</v>
      </c>
      <c r="P660" s="51" t="n">
        <v>-60.9333</v>
      </c>
      <c r="Q660" s="51" t="n">
        <v>46.0545</v>
      </c>
      <c r="R660" s="51" t="n">
        <v>-33.6154</v>
      </c>
      <c r="S660" s="52">
        <f>IF($I660="Yes",$O660,"")</f>
        <v/>
      </c>
    </row>
    <row r="661">
      <c r="A661" s="43" t="inlineStr">
        <is>
          <t>STX</t>
        </is>
      </c>
      <c r="B661" s="44" t="inlineStr">
        <is>
          <t>Seagate Technology Holdings plc</t>
        </is>
      </c>
      <c r="C661" s="44" t="inlineStr">
        <is>
          <t>US</t>
        </is>
      </c>
      <c r="D661" s="44" t="inlineStr">
        <is>
          <t>S&amp;P 500</t>
        </is>
      </c>
      <c r="E661" s="44" t="inlineStr">
        <is>
          <t>Technology</t>
        </is>
      </c>
      <c r="F661" s="45" t="n">
        <v>191825117184</v>
      </c>
      <c r="G661" s="44" t="inlineStr">
        <is>
          <t>nightly refresh</t>
        </is>
      </c>
      <c r="H661" s="43" t="n">
        <v>64</v>
      </c>
      <c r="I661" s="44" t="inlineStr">
        <is>
          <t>No</t>
        </is>
      </c>
      <c r="J661" s="44" t="inlineStr">
        <is>
          <t>2002-12-11</t>
        </is>
      </c>
      <c r="K661" s="43" t="n">
        <v>5963</v>
      </c>
      <c r="L661" s="44" t="inlineStr">
        <is>
          <t>2002-12-11</t>
        </is>
      </c>
      <c r="M661" s="44" t="inlineStr">
        <is>
          <t>2026-08-25</t>
        </is>
      </c>
      <c r="N661" s="43" t="n">
        <v>347</v>
      </c>
      <c r="O661" s="46" t="n">
        <v>-25.7561</v>
      </c>
      <c r="P661" s="46" t="n">
        <v>-86.7038</v>
      </c>
      <c r="Q661" s="46" t="n">
        <v>108.2477</v>
      </c>
      <c r="R661" s="46" t="n">
        <v>-28.1873</v>
      </c>
      <c r="S661" s="47">
        <f>IF($I661="Yes",$O661,"")</f>
        <v/>
      </c>
    </row>
    <row r="662">
      <c r="A662" s="48" t="inlineStr">
        <is>
          <t>SWKS</t>
        </is>
      </c>
      <c r="B662" s="49" t="inlineStr">
        <is>
          <t>Skyworks Solutions, Inc.</t>
        </is>
      </c>
      <c r="C662" s="49" t="inlineStr">
        <is>
          <t>US</t>
        </is>
      </c>
      <c r="D662" s="49" t="inlineStr">
        <is>
          <t>S&amp;P 500</t>
        </is>
      </c>
      <c r="E662" s="49" t="inlineStr">
        <is>
          <t>Technology</t>
        </is>
      </c>
      <c r="F662" s="50" t="n">
        <v>10024497152</v>
      </c>
      <c r="G662" s="49" t="inlineStr">
        <is>
          <t>nightly refresh</t>
        </is>
      </c>
      <c r="H662" s="48" t="n">
        <v>490</v>
      </c>
      <c r="I662" s="49" t="inlineStr">
        <is>
          <t>No</t>
        </is>
      </c>
      <c r="J662" s="49" t="inlineStr">
        <is>
          <t>1984-09-07</t>
        </is>
      </c>
      <c r="K662" s="48" t="n">
        <v>6701</v>
      </c>
      <c r="L662" s="49" t="inlineStr">
        <is>
          <t>2000-01-03</t>
        </is>
      </c>
      <c r="M662" s="49" t="inlineStr">
        <is>
          <t>2026-08-25</t>
        </is>
      </c>
      <c r="N662" s="48" t="n">
        <v>383</v>
      </c>
      <c r="O662" s="51" t="n">
        <v>-31.1494</v>
      </c>
      <c r="P662" s="51" t="n">
        <v>-93.00360000000001</v>
      </c>
      <c r="Q662" s="51" t="n">
        <v>77.0971</v>
      </c>
      <c r="R662" s="51" t="n">
        <v>-25.3796</v>
      </c>
      <c r="S662" s="52">
        <f>IF($I662="Yes",$O662,"")</f>
        <v/>
      </c>
    </row>
    <row r="663">
      <c r="A663" s="43" t="inlineStr">
        <is>
          <t>TDY</t>
        </is>
      </c>
      <c r="B663" s="44" t="inlineStr">
        <is>
          <t>Teledyne Technologies Incorporated</t>
        </is>
      </c>
      <c r="C663" s="44" t="inlineStr">
        <is>
          <t>US</t>
        </is>
      </c>
      <c r="D663" s="44" t="inlineStr">
        <is>
          <t>S&amp;P 500</t>
        </is>
      </c>
      <c r="E663" s="44" t="inlineStr">
        <is>
          <t>Technology</t>
        </is>
      </c>
      <c r="F663" s="45" t="n">
        <v>29369100288</v>
      </c>
      <c r="G663" s="44" t="inlineStr">
        <is>
          <t>nightly refresh</t>
        </is>
      </c>
      <c r="H663" s="43" t="n">
        <v>322</v>
      </c>
      <c r="I663" s="44" t="inlineStr">
        <is>
          <t>No</t>
        </is>
      </c>
      <c r="J663" s="44" t="inlineStr">
        <is>
          <t>1999-11-23</t>
        </is>
      </c>
      <c r="K663" s="43" t="n">
        <v>6701</v>
      </c>
      <c r="L663" s="44" t="inlineStr">
        <is>
          <t>2000-01-03</t>
        </is>
      </c>
      <c r="M663" s="44" t="inlineStr">
        <is>
          <t>2026-08-25</t>
        </is>
      </c>
      <c r="N663" s="43" t="n">
        <v>356</v>
      </c>
      <c r="O663" s="46" t="n">
        <v>-18.2053</v>
      </c>
      <c r="P663" s="46" t="n">
        <v>-66.6969</v>
      </c>
      <c r="Q663" s="46" t="n">
        <v>48.9819</v>
      </c>
      <c r="R663" s="46" t="n">
        <v>-10.1438</v>
      </c>
      <c r="S663" s="47">
        <f>IF($I663="Yes",$O663,"")</f>
        <v/>
      </c>
    </row>
    <row r="664">
      <c r="A664" s="48" t="inlineStr">
        <is>
          <t>TEL</t>
        </is>
      </c>
      <c r="B664" s="49" t="inlineStr">
        <is>
          <t>TE Connectivity plc</t>
        </is>
      </c>
      <c r="C664" s="49" t="inlineStr">
        <is>
          <t>US</t>
        </is>
      </c>
      <c r="D664" s="49" t="inlineStr">
        <is>
          <t>S&amp;P 500</t>
        </is>
      </c>
      <c r="E664" s="49" t="inlineStr">
        <is>
          <t>Technology</t>
        </is>
      </c>
      <c r="F664" s="50" t="n">
        <v>59358896128</v>
      </c>
      <c r="G664" s="49" t="inlineStr">
        <is>
          <t>nightly refresh</t>
        </is>
      </c>
      <c r="H664" s="48" t="n">
        <v>205</v>
      </c>
      <c r="I664" s="49" t="inlineStr">
        <is>
          <t>No</t>
        </is>
      </c>
      <c r="J664" s="49" t="inlineStr">
        <is>
          <t>2007-06-14</t>
        </is>
      </c>
      <c r="K664" s="48" t="n">
        <v>4830</v>
      </c>
      <c r="L664" s="49" t="inlineStr">
        <is>
          <t>2007-06-14</t>
        </is>
      </c>
      <c r="M664" s="49" t="inlineStr">
        <is>
          <t>2026-08-25</t>
        </is>
      </c>
      <c r="N664" s="48" t="n">
        <v>237</v>
      </c>
      <c r="O664" s="51" t="n">
        <v>-17.3583</v>
      </c>
      <c r="P664" s="51" t="n">
        <v>-81.172</v>
      </c>
      <c r="Q664" s="51" t="n">
        <v>51.3822</v>
      </c>
      <c r="R664" s="51" t="n">
        <v>-19.9444</v>
      </c>
      <c r="S664" s="52">
        <f>IF($I664="Yes",$O664,"")</f>
        <v/>
      </c>
    </row>
    <row r="665">
      <c r="A665" s="43" t="inlineStr">
        <is>
          <t>TER</t>
        </is>
      </c>
      <c r="B665" s="44" t="inlineStr">
        <is>
          <t>Teradyne, Inc.</t>
        </is>
      </c>
      <c r="C665" s="44" t="inlineStr">
        <is>
          <t>US</t>
        </is>
      </c>
      <c r="D665" s="44" t="inlineStr">
        <is>
          <t>S&amp;P 500</t>
        </is>
      </c>
      <c r="E665" s="44" t="inlineStr">
        <is>
          <t>Technology</t>
        </is>
      </c>
      <c r="F665" s="45" t="n">
        <v>56767328256</v>
      </c>
      <c r="G665" s="44" t="inlineStr">
        <is>
          <t>nightly refresh</t>
        </is>
      </c>
      <c r="H665" s="43" t="n">
        <v>217</v>
      </c>
      <c r="I665" s="44" t="inlineStr">
        <is>
          <t>No</t>
        </is>
      </c>
      <c r="J665" s="44" t="inlineStr">
        <is>
          <t>1973-02-21</t>
        </is>
      </c>
      <c r="K665" s="43" t="n">
        <v>6701</v>
      </c>
      <c r="L665" s="44" t="inlineStr">
        <is>
          <t>2000-01-03</t>
        </is>
      </c>
      <c r="M665" s="44" t="inlineStr">
        <is>
          <t>2026-08-25</t>
        </is>
      </c>
      <c r="N665" s="43" t="n">
        <v>383</v>
      </c>
      <c r="O665" s="46" t="n">
        <v>-28.9226</v>
      </c>
      <c r="P665" s="46" t="n">
        <v>-82.0398</v>
      </c>
      <c r="Q665" s="46" t="n">
        <v>74.1284</v>
      </c>
      <c r="R665" s="46" t="n">
        <v>-24.898</v>
      </c>
      <c r="S665" s="47">
        <f>IF($I665="Yes",$O665,"")</f>
        <v/>
      </c>
    </row>
    <row r="666">
      <c r="A666" s="48" t="inlineStr">
        <is>
          <t>TRMB</t>
        </is>
      </c>
      <c r="B666" s="49" t="inlineStr">
        <is>
          <t>Trimble Inc.</t>
        </is>
      </c>
      <c r="C666" s="49" t="inlineStr">
        <is>
          <t>US</t>
        </is>
      </c>
      <c r="D666" s="49" t="inlineStr">
        <is>
          <t>S&amp;P 500</t>
        </is>
      </c>
      <c r="E666" s="49" t="inlineStr">
        <is>
          <t>Technology</t>
        </is>
      </c>
      <c r="F666" s="50" t="n">
        <v>13916173312</v>
      </c>
      <c r="G666" s="49" t="inlineStr">
        <is>
          <t>nightly refresh</t>
        </is>
      </c>
      <c r="H666" s="48" t="n">
        <v>455</v>
      </c>
      <c r="I666" s="49" t="inlineStr">
        <is>
          <t>No</t>
        </is>
      </c>
      <c r="J666" s="49" t="inlineStr">
        <is>
          <t>1990-07-20</t>
        </is>
      </c>
      <c r="K666" s="48" t="n">
        <v>6701</v>
      </c>
      <c r="L666" s="49" t="inlineStr">
        <is>
          <t>2000-01-03</t>
        </is>
      </c>
      <c r="M666" s="49" t="inlineStr">
        <is>
          <t>2026-08-25</t>
        </is>
      </c>
      <c r="N666" s="48" t="n">
        <v>379</v>
      </c>
      <c r="O666" s="51" t="n">
        <v>-24.2084</v>
      </c>
      <c r="P666" s="51" t="n">
        <v>-79.8419</v>
      </c>
      <c r="Q666" s="51" t="n">
        <v>63.7747</v>
      </c>
      <c r="R666" s="51" t="n">
        <v>-29.602</v>
      </c>
      <c r="S666" s="52">
        <f>IF($I666="Yes",$O666,"")</f>
        <v/>
      </c>
    </row>
    <row r="667">
      <c r="A667" s="43" t="inlineStr">
        <is>
          <t>TXN</t>
        </is>
      </c>
      <c r="B667" s="44" t="inlineStr">
        <is>
          <t>Texas Instruments Incorporated</t>
        </is>
      </c>
      <c r="C667" s="44" t="inlineStr">
        <is>
          <t>US</t>
        </is>
      </c>
      <c r="D667" s="44" t="inlineStr">
        <is>
          <t>S&amp;P 500</t>
        </is>
      </c>
      <c r="E667" s="44" t="inlineStr">
        <is>
          <t>Technology</t>
        </is>
      </c>
      <c r="F667" s="45" t="n">
        <v>239060828160</v>
      </c>
      <c r="G667" s="44" t="inlineStr">
        <is>
          <t>nightly refresh</t>
        </is>
      </c>
      <c r="H667" s="43" t="n">
        <v>48</v>
      </c>
      <c r="I667" s="44" t="inlineStr">
        <is>
          <t>Yes</t>
        </is>
      </c>
      <c r="J667" s="44" t="inlineStr">
        <is>
          <t>1972-06-01</t>
        </is>
      </c>
      <c r="K667" s="43" t="n">
        <v>6701</v>
      </c>
      <c r="L667" s="44" t="inlineStr">
        <is>
          <t>2000-01-03</t>
        </is>
      </c>
      <c r="M667" s="44" t="inlineStr">
        <is>
          <t>2026-08-25</t>
        </is>
      </c>
      <c r="N667" s="43" t="n">
        <v>350</v>
      </c>
      <c r="O667" s="46" t="n">
        <v>-21.1386</v>
      </c>
      <c r="P667" s="46" t="n">
        <v>-70.7394</v>
      </c>
      <c r="Q667" s="46" t="n">
        <v>43.2981</v>
      </c>
      <c r="R667" s="46" t="n">
        <v>-22.1477</v>
      </c>
      <c r="S667" s="47">
        <f>IF($I667="Yes",$O667,"")</f>
        <v/>
      </c>
    </row>
    <row r="668">
      <c r="A668" s="48" t="inlineStr">
        <is>
          <t>TYL</t>
        </is>
      </c>
      <c r="B668" s="49" t="inlineStr">
        <is>
          <t>Tyler Technologies, Inc.</t>
        </is>
      </c>
      <c r="C668" s="49" t="inlineStr">
        <is>
          <t>US</t>
        </is>
      </c>
      <c r="D668" s="49" t="inlineStr">
        <is>
          <t>S&amp;P 500</t>
        </is>
      </c>
      <c r="E668" s="49" t="inlineStr">
        <is>
          <t>Technology</t>
        </is>
      </c>
      <c r="F668" s="50" t="n">
        <v>14441818112</v>
      </c>
      <c r="G668" s="49" t="inlineStr">
        <is>
          <t>nightly refresh</t>
        </is>
      </c>
      <c r="H668" s="48" t="n">
        <v>446</v>
      </c>
      <c r="I668" s="49" t="inlineStr">
        <is>
          <t>No</t>
        </is>
      </c>
      <c r="J668" s="49" t="inlineStr">
        <is>
          <t>1980-03-17</t>
        </is>
      </c>
      <c r="K668" s="48" t="n">
        <v>6701</v>
      </c>
      <c r="L668" s="49" t="inlineStr">
        <is>
          <t>2000-01-03</t>
        </is>
      </c>
      <c r="M668" s="49" t="inlineStr">
        <is>
          <t>2026-08-25</t>
        </is>
      </c>
      <c r="N668" s="48" t="n">
        <v>355</v>
      </c>
      <c r="O668" s="51" t="n">
        <v>-20.5393</v>
      </c>
      <c r="P668" s="51" t="n">
        <v>-87.46850000000001</v>
      </c>
      <c r="Q668" s="51" t="n">
        <v>62.1891</v>
      </c>
      <c r="R668" s="51" t="n">
        <v>-38.2153</v>
      </c>
      <c r="S668" s="52">
        <f>IF($I668="Yes",$O668,"")</f>
        <v/>
      </c>
    </row>
    <row r="669">
      <c r="A669" s="43" t="inlineStr">
        <is>
          <t>UBER</t>
        </is>
      </c>
      <c r="B669" s="44" t="inlineStr">
        <is>
          <t>Uber Technologies, Inc.</t>
        </is>
      </c>
      <c r="C669" s="44" t="inlineStr">
        <is>
          <t>US</t>
        </is>
      </c>
      <c r="D669" s="44" t="inlineStr">
        <is>
          <t>S&amp;P 500</t>
        </is>
      </c>
      <c r="E669" s="44" t="inlineStr">
        <is>
          <t>Technology</t>
        </is>
      </c>
      <c r="F669" s="45" t="n">
        <v>160320536576</v>
      </c>
      <c r="G669" s="44" t="inlineStr">
        <is>
          <t>nightly refresh</t>
        </is>
      </c>
      <c r="H669" s="43" t="n">
        <v>83</v>
      </c>
      <c r="I669" s="44" t="inlineStr">
        <is>
          <t>No</t>
        </is>
      </c>
      <c r="J669" s="44" t="inlineStr">
        <is>
          <t>2019-05-10</t>
        </is>
      </c>
      <c r="K669" s="43" t="n">
        <v>1833</v>
      </c>
      <c r="L669" s="44" t="inlineStr">
        <is>
          <t>2019-05-10</t>
        </is>
      </c>
      <c r="M669" s="44" t="inlineStr">
        <is>
          <t>2026-08-25</t>
        </is>
      </c>
      <c r="N669" s="43" t="n">
        <v>111</v>
      </c>
      <c r="O669" s="46" t="n">
        <v>-27.9649</v>
      </c>
      <c r="P669" s="46" t="n">
        <v>-68.5217</v>
      </c>
      <c r="Q669" s="46" t="n">
        <v>78.187</v>
      </c>
      <c r="R669" s="46" t="n">
        <v>-21.2178</v>
      </c>
      <c r="S669" s="47">
        <f>IF($I669="Yes",$O669,"")</f>
        <v/>
      </c>
    </row>
    <row r="670">
      <c r="A670" s="48" t="inlineStr">
        <is>
          <t>VRSN</t>
        </is>
      </c>
      <c r="B670" s="49" t="inlineStr">
        <is>
          <t>VeriSign, Inc.</t>
        </is>
      </c>
      <c r="C670" s="49" t="inlineStr">
        <is>
          <t>US</t>
        </is>
      </c>
      <c r="D670" s="49" t="inlineStr">
        <is>
          <t>S&amp;P 500</t>
        </is>
      </c>
      <c r="E670" s="49" t="inlineStr">
        <is>
          <t>Technology</t>
        </is>
      </c>
      <c r="F670" s="50" t="n">
        <v>26486294528</v>
      </c>
      <c r="G670" s="49" t="inlineStr">
        <is>
          <t>nightly refresh</t>
        </is>
      </c>
      <c r="H670" s="48" t="n">
        <v>345</v>
      </c>
      <c r="I670" s="49" t="inlineStr">
        <is>
          <t>No</t>
        </is>
      </c>
      <c r="J670" s="49" t="inlineStr">
        <is>
          <t>1998-01-30</t>
        </is>
      </c>
      <c r="K670" s="48" t="n">
        <v>6701</v>
      </c>
      <c r="L670" s="49" t="inlineStr">
        <is>
          <t>2000-01-03</t>
        </is>
      </c>
      <c r="M670" s="49" t="inlineStr">
        <is>
          <t>2026-08-25</t>
        </is>
      </c>
      <c r="N670" s="48" t="n">
        <v>334</v>
      </c>
      <c r="O670" s="51" t="n">
        <v>-25.4101</v>
      </c>
      <c r="P670" s="51" t="n">
        <v>-92.2732</v>
      </c>
      <c r="Q670" s="51" t="n">
        <v>54.2662</v>
      </c>
      <c r="R670" s="51" t="n">
        <v>-5.994</v>
      </c>
      <c r="S670" s="52">
        <f>IF($I670="Yes",$O670,"")</f>
        <v/>
      </c>
    </row>
    <row r="671">
      <c r="A671" s="43" t="inlineStr">
        <is>
          <t>WDAY</t>
        </is>
      </c>
      <c r="B671" s="44" t="inlineStr">
        <is>
          <t>Workday, Inc.</t>
        </is>
      </c>
      <c r="C671" s="44" t="inlineStr">
        <is>
          <t>US</t>
        </is>
      </c>
      <c r="D671" s="44" t="inlineStr">
        <is>
          <t>S&amp;P 500</t>
        </is>
      </c>
      <c r="E671" s="44" t="inlineStr">
        <is>
          <t>Technology</t>
        </is>
      </c>
      <c r="F671" s="45" t="n">
        <v>47110189056</v>
      </c>
      <c r="G671" s="44" t="inlineStr">
        <is>
          <t>nightly refresh</t>
        </is>
      </c>
      <c r="H671" s="43" t="n">
        <v>249</v>
      </c>
      <c r="I671" s="44" t="inlineStr">
        <is>
          <t>No</t>
        </is>
      </c>
      <c r="J671" s="44" t="inlineStr">
        <is>
          <t>2012-10-12</t>
        </is>
      </c>
      <c r="K671" s="43" t="n">
        <v>3485</v>
      </c>
      <c r="L671" s="44" t="inlineStr">
        <is>
          <t>2012-10-12</t>
        </is>
      </c>
      <c r="M671" s="44" t="inlineStr">
        <is>
          <t>2026-08-25</t>
        </is>
      </c>
      <c r="N671" s="43" t="n">
        <v>197</v>
      </c>
      <c r="O671" s="46" t="n">
        <v>-22.2817</v>
      </c>
      <c r="P671" s="46" t="n">
        <v>-59.2391</v>
      </c>
      <c r="Q671" s="46" t="n">
        <v>50.2523</v>
      </c>
      <c r="R671" s="46" t="n">
        <v>-22.1853</v>
      </c>
      <c r="S671" s="47">
        <f>IF($I671="Yes",$O671,"")</f>
        <v/>
      </c>
    </row>
    <row r="672">
      <c r="A672" s="48" t="inlineStr">
        <is>
          <t>WDC</t>
        </is>
      </c>
      <c r="B672" s="49" t="inlineStr">
        <is>
          <t>Western Digital Corporation</t>
        </is>
      </c>
      <c r="C672" s="49" t="inlineStr">
        <is>
          <t>US</t>
        </is>
      </c>
      <c r="D672" s="49" t="inlineStr">
        <is>
          <t>S&amp;P 500</t>
        </is>
      </c>
      <c r="E672" s="49" t="inlineStr">
        <is>
          <t>Technology</t>
        </is>
      </c>
      <c r="F672" s="50" t="n">
        <v>169050439680</v>
      </c>
      <c r="G672" s="49" t="inlineStr">
        <is>
          <t>nightly refresh</t>
        </is>
      </c>
      <c r="H672" s="48" t="n">
        <v>78</v>
      </c>
      <c r="I672" s="49" t="inlineStr">
        <is>
          <t>No</t>
        </is>
      </c>
      <c r="J672" s="49" t="inlineStr">
        <is>
          <t>1978-10-31</t>
        </is>
      </c>
      <c r="K672" s="48" t="n">
        <v>6701</v>
      </c>
      <c r="L672" s="49" t="inlineStr">
        <is>
          <t>2000-01-03</t>
        </is>
      </c>
      <c r="M672" s="49" t="inlineStr">
        <is>
          <t>2026-08-25</t>
        </is>
      </c>
      <c r="N672" s="48" t="n">
        <v>371</v>
      </c>
      <c r="O672" s="51" t="n">
        <v>-28.3838</v>
      </c>
      <c r="P672" s="51" t="n">
        <v>-75.175</v>
      </c>
      <c r="Q672" s="51" t="n">
        <v>112.4375</v>
      </c>
      <c r="R672" s="51" t="n">
        <v>-43.6471</v>
      </c>
      <c r="S672" s="52">
        <f>IF($I672="Yes",$O672,"")</f>
        <v/>
      </c>
    </row>
    <row r="673">
      <c r="A673" s="43" t="inlineStr">
        <is>
          <t>XYZ</t>
        </is>
      </c>
      <c r="B673" s="44" t="inlineStr">
        <is>
          <t>Block, Inc.</t>
        </is>
      </c>
      <c r="C673" s="44" t="inlineStr">
        <is>
          <t>US</t>
        </is>
      </c>
      <c r="D673" s="44" t="inlineStr">
        <is>
          <t>S&amp;P 500</t>
        </is>
      </c>
      <c r="E673" s="44" t="inlineStr">
        <is>
          <t>Technology</t>
        </is>
      </c>
      <c r="F673" s="45" t="n">
        <v>49926066176</v>
      </c>
      <c r="G673" s="44" t="inlineStr">
        <is>
          <t>nightly refresh</t>
        </is>
      </c>
      <c r="H673" s="43" t="n">
        <v>238</v>
      </c>
      <c r="I673" s="44" t="inlineStr">
        <is>
          <t>No</t>
        </is>
      </c>
      <c r="J673" s="44" t="inlineStr">
        <is>
          <t>2015-11-19</t>
        </is>
      </c>
      <c r="K673" s="43" t="n">
        <v>2705</v>
      </c>
      <c r="L673" s="44" t="inlineStr">
        <is>
          <t>2015-11-19</t>
        </is>
      </c>
      <c r="M673" s="44" t="inlineStr">
        <is>
          <t>2026-08-25</t>
        </is>
      </c>
      <c r="N673" s="43" t="n">
        <v>161</v>
      </c>
      <c r="O673" s="46" t="n">
        <v>-31.6713</v>
      </c>
      <c r="P673" s="46" t="n">
        <v>-80.9335</v>
      </c>
      <c r="Q673" s="46" t="n">
        <v>112.6636</v>
      </c>
      <c r="R673" s="46" t="n">
        <v>-4.6455</v>
      </c>
      <c r="S673" s="47">
        <f>IF($I673="Yes",$O673,"")</f>
        <v/>
      </c>
    </row>
    <row r="674">
      <c r="A674" s="48" t="inlineStr">
        <is>
          <t>ZBRA</t>
        </is>
      </c>
      <c r="B674" s="49" t="inlineStr">
        <is>
          <t>Zebra Technologies Corporation</t>
        </is>
      </c>
      <c r="C674" s="49" t="inlineStr">
        <is>
          <t>US</t>
        </is>
      </c>
      <c r="D674" s="49" t="inlineStr">
        <is>
          <t>S&amp;P 500</t>
        </is>
      </c>
      <c r="E674" s="49" t="inlineStr">
        <is>
          <t>Technology</t>
        </is>
      </c>
      <c r="F674" s="50" t="n">
        <v>17024267264</v>
      </c>
      <c r="G674" s="49" t="inlineStr">
        <is>
          <t>nightly refresh</t>
        </is>
      </c>
      <c r="H674" s="48" t="n">
        <v>430</v>
      </c>
      <c r="I674" s="49" t="inlineStr">
        <is>
          <t>No</t>
        </is>
      </c>
      <c r="J674" s="49" t="inlineStr">
        <is>
          <t>1991-08-15</t>
        </is>
      </c>
      <c r="K674" s="48" t="n">
        <v>6701</v>
      </c>
      <c r="L674" s="49" t="inlineStr">
        <is>
          <t>2000-01-03</t>
        </is>
      </c>
      <c r="M674" s="49" t="inlineStr">
        <is>
          <t>2026-08-25</t>
        </is>
      </c>
      <c r="N674" s="48" t="n">
        <v>361</v>
      </c>
      <c r="O674" s="51" t="n">
        <v>-23.3017</v>
      </c>
      <c r="P674" s="51" t="n">
        <v>-63.1089</v>
      </c>
      <c r="Q674" s="51" t="n">
        <v>51.3274</v>
      </c>
      <c r="R674" s="51" t="n">
        <v>-6.6567</v>
      </c>
      <c r="S674" s="52">
        <f>IF($I674="Yes",$O674,"")</f>
        <v/>
      </c>
    </row>
    <row r="675">
      <c r="A675" s="43" t="inlineStr">
        <is>
          <t>AEE</t>
        </is>
      </c>
      <c r="B675" s="44" t="inlineStr">
        <is>
          <t>Ameren Corporation</t>
        </is>
      </c>
      <c r="C675" s="44" t="inlineStr">
        <is>
          <t>US</t>
        </is>
      </c>
      <c r="D675" s="44" t="inlineStr">
        <is>
          <t>S&amp;P 500</t>
        </is>
      </c>
      <c r="E675" s="44" t="inlineStr">
        <is>
          <t>Utilities</t>
        </is>
      </c>
      <c r="F675" s="45" t="n">
        <v>29829861376</v>
      </c>
      <c r="G675" s="44" t="inlineStr">
        <is>
          <t>nightly refresh</t>
        </is>
      </c>
      <c r="H675" s="43" t="n">
        <v>319</v>
      </c>
      <c r="I675" s="44" t="inlineStr">
        <is>
          <t>No</t>
        </is>
      </c>
      <c r="J675" s="44" t="inlineStr">
        <is>
          <t>1998-01-02</t>
        </is>
      </c>
      <c r="K675" s="43" t="n">
        <v>6701</v>
      </c>
      <c r="L675" s="44" t="inlineStr">
        <is>
          <t>2000-01-03</t>
        </is>
      </c>
      <c r="M675" s="44" t="inlineStr">
        <is>
          <t>2026-08-25</t>
        </is>
      </c>
      <c r="N675" s="43" t="n">
        <v>290</v>
      </c>
      <c r="O675" s="46" t="n">
        <v>-13.2088</v>
      </c>
      <c r="P675" s="46" t="n">
        <v>-56.2817</v>
      </c>
      <c r="Q675" s="46" t="n">
        <v>27.3628</v>
      </c>
      <c r="R675" s="46" t="n">
        <v>-9.711</v>
      </c>
      <c r="S675" s="47">
        <f>IF($I675="Yes",$O675,"")</f>
        <v/>
      </c>
    </row>
    <row r="676">
      <c r="A676" s="48" t="inlineStr">
        <is>
          <t>AEP</t>
        </is>
      </c>
      <c r="B676" s="49" t="inlineStr">
        <is>
          <t>American Electric Power Company, Inc.</t>
        </is>
      </c>
      <c r="C676" s="49" t="inlineStr">
        <is>
          <t>US</t>
        </is>
      </c>
      <c r="D676" s="49" t="inlineStr">
        <is>
          <t>S&amp;P 500</t>
        </is>
      </c>
      <c r="E676" s="49" t="inlineStr">
        <is>
          <t>Utilities</t>
        </is>
      </c>
      <c r="F676" s="50" t="n">
        <v>67156860928</v>
      </c>
      <c r="G676" s="49" t="inlineStr">
        <is>
          <t>nightly refresh</t>
        </is>
      </c>
      <c r="H676" s="48" t="n">
        <v>191</v>
      </c>
      <c r="I676" s="49" t="inlineStr">
        <is>
          <t>No</t>
        </is>
      </c>
      <c r="J676" s="49" t="inlineStr">
        <is>
          <t>1962-01-02</t>
        </is>
      </c>
      <c r="K676" s="48" t="n">
        <v>6701</v>
      </c>
      <c r="L676" s="49" t="inlineStr">
        <is>
          <t>2000-01-03</t>
        </is>
      </c>
      <c r="M676" s="49" t="inlineStr">
        <is>
          <t>2026-08-25</t>
        </is>
      </c>
      <c r="N676" s="48" t="n">
        <v>296</v>
      </c>
      <c r="O676" s="51" t="n">
        <v>-14.6257</v>
      </c>
      <c r="P676" s="51" t="n">
        <v>-62.5774</v>
      </c>
      <c r="Q676" s="51" t="n">
        <v>30.8682</v>
      </c>
      <c r="R676" s="51" t="n">
        <v>-12.6689</v>
      </c>
      <c r="S676" s="52">
        <f>IF($I676="Yes",$O676,"")</f>
        <v/>
      </c>
    </row>
    <row r="677">
      <c r="A677" s="43" t="inlineStr">
        <is>
          <t>AES</t>
        </is>
      </c>
      <c r="B677" s="44" t="inlineStr">
        <is>
          <t>The AES Corporation</t>
        </is>
      </c>
      <c r="C677" s="44" t="inlineStr">
        <is>
          <t>US</t>
        </is>
      </c>
      <c r="D677" s="44" t="inlineStr">
        <is>
          <t>S&amp;P 500</t>
        </is>
      </c>
      <c r="E677" s="44" t="inlineStr">
        <is>
          <t>Utilities</t>
        </is>
      </c>
      <c r="F677" s="45" t="n">
        <v>10508951552</v>
      </c>
      <c r="G677" s="44" t="inlineStr">
        <is>
          <t>nightly refresh</t>
        </is>
      </c>
      <c r="H677" s="43" t="n">
        <v>485</v>
      </c>
      <c r="I677" s="44" t="inlineStr">
        <is>
          <t>No</t>
        </is>
      </c>
      <c r="J677" s="44" t="inlineStr">
        <is>
          <t>1991-06-26</t>
        </is>
      </c>
      <c r="K677" s="43" t="n">
        <v>6701</v>
      </c>
      <c r="L677" s="44" t="inlineStr">
        <is>
          <t>2000-01-03</t>
        </is>
      </c>
      <c r="M677" s="44" t="inlineStr">
        <is>
          <t>2026-08-25</t>
        </is>
      </c>
      <c r="N677" s="43" t="n">
        <v>377</v>
      </c>
      <c r="O677" s="46" t="n">
        <v>-25.0971</v>
      </c>
      <c r="P677" s="46" t="n">
        <v>-96.02549999999999</v>
      </c>
      <c r="Q677" s="46" t="n">
        <v>75.80110000000001</v>
      </c>
      <c r="R677" s="46" t="n">
        <v>-15.5149</v>
      </c>
      <c r="S677" s="47">
        <f>IF($I677="Yes",$O677,"")</f>
        <v/>
      </c>
    </row>
    <row r="678">
      <c r="A678" s="48" t="inlineStr">
        <is>
          <t>ATO</t>
        </is>
      </c>
      <c r="B678" s="49" t="inlineStr">
        <is>
          <t>Atmos Energy Corporation</t>
        </is>
      </c>
      <c r="C678" s="49" t="inlineStr">
        <is>
          <t>US</t>
        </is>
      </c>
      <c r="D678" s="49" t="inlineStr">
        <is>
          <t>S&amp;P 500</t>
        </is>
      </c>
      <c r="E678" s="49" t="inlineStr">
        <is>
          <t>Utilities</t>
        </is>
      </c>
      <c r="F678" s="50" t="n">
        <v>28636803072</v>
      </c>
      <c r="G678" s="49" t="inlineStr">
        <is>
          <t>nightly refresh</t>
        </is>
      </c>
      <c r="H678" s="48" t="n">
        <v>327</v>
      </c>
      <c r="I678" s="49" t="inlineStr">
        <is>
          <t>No</t>
        </is>
      </c>
      <c r="J678" s="49" t="inlineStr">
        <is>
          <t>1983-12-28</t>
        </is>
      </c>
      <c r="K678" s="48" t="n">
        <v>6701</v>
      </c>
      <c r="L678" s="49" t="inlineStr">
        <is>
          <t>2000-01-03</t>
        </is>
      </c>
      <c r="M678" s="49" t="inlineStr">
        <is>
          <t>2026-08-25</t>
        </is>
      </c>
      <c r="N678" s="48" t="n">
        <v>290</v>
      </c>
      <c r="O678" s="51" t="n">
        <v>-11.3742</v>
      </c>
      <c r="P678" s="51" t="n">
        <v>-33.1929</v>
      </c>
      <c r="Q678" s="51" t="n">
        <v>29.6623</v>
      </c>
      <c r="R678" s="51" t="n">
        <v>-12.4681</v>
      </c>
      <c r="S678" s="52">
        <f>IF($I678="Yes",$O678,"")</f>
        <v/>
      </c>
    </row>
    <row r="679">
      <c r="A679" s="43" t="inlineStr">
        <is>
          <t>AWK</t>
        </is>
      </c>
      <c r="B679" s="44" t="inlineStr">
        <is>
          <t>American Water Works Company, Inc.</t>
        </is>
      </c>
      <c r="C679" s="44" t="inlineStr">
        <is>
          <t>US</t>
        </is>
      </c>
      <c r="D679" s="44" t="inlineStr">
        <is>
          <t>S&amp;P 500</t>
        </is>
      </c>
      <c r="E679" s="44" t="inlineStr">
        <is>
          <t>Utilities</t>
        </is>
      </c>
      <c r="F679" s="45" t="n">
        <v>27323250688</v>
      </c>
      <c r="G679" s="44" t="inlineStr">
        <is>
          <t>nightly refresh</t>
        </is>
      </c>
      <c r="H679" s="43" t="n">
        <v>336</v>
      </c>
      <c r="I679" s="44" t="inlineStr">
        <is>
          <t>No</t>
        </is>
      </c>
      <c r="J679" s="44" t="inlineStr">
        <is>
          <t>2008-04-23</t>
        </is>
      </c>
      <c r="K679" s="43" t="n">
        <v>4614</v>
      </c>
      <c r="L679" s="44" t="inlineStr">
        <is>
          <t>2008-04-23</t>
        </is>
      </c>
      <c r="M679" s="44" t="inlineStr">
        <is>
          <t>2026-08-25</t>
        </is>
      </c>
      <c r="N679" s="43" t="n">
        <v>198</v>
      </c>
      <c r="O679" s="46" t="n">
        <v>-13.1645</v>
      </c>
      <c r="P679" s="46" t="n">
        <v>-32.7202</v>
      </c>
      <c r="Q679" s="46" t="n">
        <v>30.3203</v>
      </c>
      <c r="R679" s="46" t="n">
        <v>-4.0127</v>
      </c>
      <c r="S679" s="47">
        <f>IF($I679="Yes",$O679,"")</f>
        <v/>
      </c>
    </row>
    <row r="680">
      <c r="A680" s="48" t="inlineStr">
        <is>
          <t>CEG</t>
        </is>
      </c>
      <c r="B680" s="49" t="inlineStr">
        <is>
          <t>Constellation Energy Corporation</t>
        </is>
      </c>
      <c r="C680" s="49" t="inlineStr">
        <is>
          <t>US</t>
        </is>
      </c>
      <c r="D680" s="49" t="inlineStr">
        <is>
          <t>S&amp;P 500</t>
        </is>
      </c>
      <c r="E680" s="49" t="inlineStr">
        <is>
          <t>Utilities</t>
        </is>
      </c>
      <c r="F680" s="50" t="n">
        <v>99035996160</v>
      </c>
      <c r="G680" s="49" t="inlineStr">
        <is>
          <t>nightly refresh</t>
        </is>
      </c>
      <c r="H680" s="48" t="n">
        <v>127</v>
      </c>
      <c r="I680" s="49" t="inlineStr">
        <is>
          <t>No</t>
        </is>
      </c>
      <c r="J680" s="49" t="inlineStr">
        <is>
          <t>2022-01-19</t>
        </is>
      </c>
      <c r="K680" s="48" t="n">
        <v>1154</v>
      </c>
      <c r="L680" s="49" t="inlineStr">
        <is>
          <t>2022-01-19</t>
        </is>
      </c>
      <c r="M680" s="49" t="inlineStr">
        <is>
          <t>2026-08-25</t>
        </is>
      </c>
      <c r="N680" s="48" t="n">
        <v>65</v>
      </c>
      <c r="O680" s="51" t="n">
        <v>-20.3386</v>
      </c>
      <c r="P680" s="51" t="n">
        <v>-51.3409</v>
      </c>
      <c r="Q680" s="51" t="n">
        <v>95.3784</v>
      </c>
      <c r="R680" s="51" t="n">
        <v>-32.264</v>
      </c>
      <c r="S680" s="52">
        <f>IF($I680="Yes",$O680,"")</f>
        <v/>
      </c>
    </row>
    <row r="681">
      <c r="A681" s="43" t="inlineStr">
        <is>
          <t>CMS</t>
        </is>
      </c>
      <c r="B681" s="44" t="inlineStr">
        <is>
          <t>CMS Energy Corporation</t>
        </is>
      </c>
      <c r="C681" s="44" t="inlineStr">
        <is>
          <t>US</t>
        </is>
      </c>
      <c r="D681" s="44" t="inlineStr">
        <is>
          <t>S&amp;P 500</t>
        </is>
      </c>
      <c r="E681" s="44" t="inlineStr">
        <is>
          <t>Utilities</t>
        </is>
      </c>
      <c r="F681" s="45" t="n">
        <v>21708947456</v>
      </c>
      <c r="G681" s="44" t="inlineStr">
        <is>
          <t>nightly refresh</t>
        </is>
      </c>
      <c r="H681" s="43" t="n">
        <v>393</v>
      </c>
      <c r="I681" s="44" t="inlineStr">
        <is>
          <t>No</t>
        </is>
      </c>
      <c r="J681" s="44" t="inlineStr">
        <is>
          <t>1973-02-21</t>
        </is>
      </c>
      <c r="K681" s="43" t="n">
        <v>6701</v>
      </c>
      <c r="L681" s="44" t="inlineStr">
        <is>
          <t>2000-01-03</t>
        </is>
      </c>
      <c r="M681" s="44" t="inlineStr">
        <is>
          <t>2026-08-25</t>
        </is>
      </c>
      <c r="N681" s="43" t="n">
        <v>294</v>
      </c>
      <c r="O681" s="46" t="n">
        <v>-17.1529</v>
      </c>
      <c r="P681" s="46" t="n">
        <v>-84.31780000000001</v>
      </c>
      <c r="Q681" s="46" t="n">
        <v>36.7087</v>
      </c>
      <c r="R681" s="46" t="n">
        <v>-13.7956</v>
      </c>
      <c r="S681" s="47">
        <f>IF($I681="Yes",$O681,"")</f>
        <v/>
      </c>
    </row>
    <row r="682">
      <c r="A682" s="48" t="inlineStr">
        <is>
          <t>CNP</t>
        </is>
      </c>
      <c r="B682" s="49" t="inlineStr">
        <is>
          <t>CenterPoint Energy, Inc.</t>
        </is>
      </c>
      <c r="C682" s="49" t="inlineStr">
        <is>
          <t>US</t>
        </is>
      </c>
      <c r="D682" s="49" t="inlineStr">
        <is>
          <t>S&amp;P 500</t>
        </is>
      </c>
      <c r="E682" s="49" t="inlineStr">
        <is>
          <t>Utilities</t>
        </is>
      </c>
      <c r="F682" s="50" t="n">
        <v>26078734336</v>
      </c>
      <c r="G682" s="49" t="inlineStr">
        <is>
          <t>nightly refresh</t>
        </is>
      </c>
      <c r="H682" s="48" t="n">
        <v>351</v>
      </c>
      <c r="I682" s="49" t="inlineStr">
        <is>
          <t>No</t>
        </is>
      </c>
      <c r="J682" s="49" t="inlineStr">
        <is>
          <t>1962-01-02</t>
        </is>
      </c>
      <c r="K682" s="48" t="n">
        <v>6701</v>
      </c>
      <c r="L682" s="49" t="inlineStr">
        <is>
          <t>2000-01-03</t>
        </is>
      </c>
      <c r="M682" s="49" t="inlineStr">
        <is>
          <t>2026-08-25</t>
        </is>
      </c>
      <c r="N682" s="48" t="n">
        <v>310</v>
      </c>
      <c r="O682" s="51" t="n">
        <v>-18.4747</v>
      </c>
      <c r="P682" s="51" t="n">
        <v>-82.4498</v>
      </c>
      <c r="Q682" s="51" t="n">
        <v>51.4579</v>
      </c>
      <c r="R682" s="51" t="n">
        <v>-13.9098</v>
      </c>
      <c r="S682" s="52">
        <f>IF($I682="Yes",$O682,"")</f>
        <v/>
      </c>
    </row>
    <row r="683">
      <c r="A683" s="43" t="inlineStr">
        <is>
          <t>D</t>
        </is>
      </c>
      <c r="B683" s="44" t="inlineStr">
        <is>
          <t>Dominion Energy, Inc.</t>
        </is>
      </c>
      <c r="C683" s="44" t="inlineStr">
        <is>
          <t>US</t>
        </is>
      </c>
      <c r="D683" s="44" t="inlineStr">
        <is>
          <t>S&amp;P 500</t>
        </is>
      </c>
      <c r="E683" s="44" t="inlineStr">
        <is>
          <t>Utilities</t>
        </is>
      </c>
      <c r="F683" s="45" t="n">
        <v>58849083392</v>
      </c>
      <c r="G683" s="44" t="inlineStr">
        <is>
          <t>nightly refresh</t>
        </is>
      </c>
      <c r="H683" s="43" t="n">
        <v>209</v>
      </c>
      <c r="I683" s="44" t="inlineStr">
        <is>
          <t>No</t>
        </is>
      </c>
      <c r="J683" s="44" t="inlineStr">
        <is>
          <t>1980-03-17</t>
        </is>
      </c>
      <c r="K683" s="43" t="n">
        <v>6701</v>
      </c>
      <c r="L683" s="44" t="inlineStr">
        <is>
          <t>2000-01-03</t>
        </is>
      </c>
      <c r="M683" s="44" t="inlineStr">
        <is>
          <t>2026-08-25</t>
        </is>
      </c>
      <c r="N683" s="43" t="n">
        <v>292</v>
      </c>
      <c r="O683" s="46" t="n">
        <v>-13.6083</v>
      </c>
      <c r="P683" s="46" t="n">
        <v>-44.4965</v>
      </c>
      <c r="Q683" s="46" t="n">
        <v>28.7396</v>
      </c>
      <c r="R683" s="46" t="n">
        <v>-8.3025</v>
      </c>
      <c r="S683" s="47">
        <f>IF($I683="Yes",$O683,"")</f>
        <v/>
      </c>
    </row>
    <row r="684">
      <c r="A684" s="48" t="inlineStr">
        <is>
          <t>DTE</t>
        </is>
      </c>
      <c r="B684" s="49" t="inlineStr">
        <is>
          <t>DTE Energy Company</t>
        </is>
      </c>
      <c r="C684" s="49" t="inlineStr">
        <is>
          <t>US</t>
        </is>
      </c>
      <c r="D684" s="49" t="inlineStr">
        <is>
          <t>S&amp;P 500</t>
        </is>
      </c>
      <c r="E684" s="49" t="inlineStr">
        <is>
          <t>Utilities</t>
        </is>
      </c>
      <c r="F684" s="50" t="n">
        <v>28655808512</v>
      </c>
      <c r="G684" s="49" t="inlineStr">
        <is>
          <t>nightly refresh</t>
        </is>
      </c>
      <c r="H684" s="48" t="n">
        <v>326</v>
      </c>
      <c r="I684" s="49" t="inlineStr">
        <is>
          <t>No</t>
        </is>
      </c>
      <c r="J684" s="49" t="inlineStr">
        <is>
          <t>1962-01-02</t>
        </is>
      </c>
      <c r="K684" s="48" t="n">
        <v>6701</v>
      </c>
      <c r="L684" s="49" t="inlineStr">
        <is>
          <t>2000-01-03</t>
        </is>
      </c>
      <c r="M684" s="49" t="inlineStr">
        <is>
          <t>2026-08-25</t>
        </is>
      </c>
      <c r="N684" s="48" t="n">
        <v>282</v>
      </c>
      <c r="O684" s="51" t="n">
        <v>-13.3542</v>
      </c>
      <c r="P684" s="51" t="n">
        <v>-46.0379</v>
      </c>
      <c r="Q684" s="51" t="n">
        <v>29.5032</v>
      </c>
      <c r="R684" s="51" t="n">
        <v>-12.5907</v>
      </c>
      <c r="S684" s="52">
        <f>IF($I684="Yes",$O684,"")</f>
        <v/>
      </c>
    </row>
    <row r="685">
      <c r="A685" s="43" t="inlineStr">
        <is>
          <t>DUK</t>
        </is>
      </c>
      <c r="B685" s="44" t="inlineStr">
        <is>
          <t>Duke Energy Corporation</t>
        </is>
      </c>
      <c r="C685" s="44" t="inlineStr">
        <is>
          <t>US</t>
        </is>
      </c>
      <c r="D685" s="44" t="inlineStr">
        <is>
          <t>S&amp;P 500</t>
        </is>
      </c>
      <c r="E685" s="44" t="inlineStr">
        <is>
          <t>Utilities</t>
        </is>
      </c>
      <c r="F685" s="45" t="n">
        <v>95037898752</v>
      </c>
      <c r="G685" s="44" t="inlineStr">
        <is>
          <t>nightly refresh</t>
        </is>
      </c>
      <c r="H685" s="43" t="n">
        <v>134</v>
      </c>
      <c r="I685" s="44" t="inlineStr">
        <is>
          <t>No</t>
        </is>
      </c>
      <c r="J685" s="44" t="inlineStr">
        <is>
          <t>1980-03-17</t>
        </is>
      </c>
      <c r="K685" s="43" t="n">
        <v>6701</v>
      </c>
      <c r="L685" s="44" t="inlineStr">
        <is>
          <t>2000-01-03</t>
        </is>
      </c>
      <c r="M685" s="44" t="inlineStr">
        <is>
          <t>2026-08-25</t>
        </is>
      </c>
      <c r="N685" s="43" t="n">
        <v>271</v>
      </c>
      <c r="O685" s="46" t="n">
        <v>-14.7573</v>
      </c>
      <c r="P685" s="46" t="n">
        <v>-67.2749</v>
      </c>
      <c r="Q685" s="46" t="n">
        <v>29.3967</v>
      </c>
      <c r="R685" s="46" t="n">
        <v>-8.810600000000001</v>
      </c>
      <c r="S685" s="47">
        <f>IF($I685="Yes",$O685,"")</f>
        <v/>
      </c>
    </row>
    <row r="686">
      <c r="A686" s="48" t="inlineStr">
        <is>
          <t>ED</t>
        </is>
      </c>
      <c r="B686" s="49" t="inlineStr">
        <is>
          <t>Consolidated Edison, Inc.</t>
        </is>
      </c>
      <c r="C686" s="49" t="inlineStr">
        <is>
          <t>US</t>
        </is>
      </c>
      <c r="D686" s="49" t="inlineStr">
        <is>
          <t>S&amp;P 500</t>
        </is>
      </c>
      <c r="E686" s="49" t="inlineStr">
        <is>
          <t>Utilities</t>
        </is>
      </c>
      <c r="F686" s="50" t="n">
        <v>39959986176</v>
      </c>
      <c r="G686" s="49" t="inlineStr">
        <is>
          <t>nightly refresh</t>
        </is>
      </c>
      <c r="H686" s="48" t="n">
        <v>276</v>
      </c>
      <c r="I686" s="49" t="inlineStr">
        <is>
          <t>No</t>
        </is>
      </c>
      <c r="J686" s="49" t="inlineStr">
        <is>
          <t>1962-01-02</t>
        </is>
      </c>
      <c r="K686" s="48" t="n">
        <v>6701</v>
      </c>
      <c r="L686" s="49" t="inlineStr">
        <is>
          <t>2000-01-03</t>
        </is>
      </c>
      <c r="M686" s="49" t="inlineStr">
        <is>
          <t>2026-08-25</t>
        </is>
      </c>
      <c r="N686" s="48" t="n">
        <v>281</v>
      </c>
      <c r="O686" s="51" t="n">
        <v>-12.1358</v>
      </c>
      <c r="P686" s="51" t="n">
        <v>-30.9561</v>
      </c>
      <c r="Q686" s="51" t="n">
        <v>24.1734</v>
      </c>
      <c r="R686" s="51" t="n">
        <v>-7.092</v>
      </c>
      <c r="S686" s="52">
        <f>IF($I686="Yes",$O686,"")</f>
        <v/>
      </c>
    </row>
    <row r="687">
      <c r="A687" s="43" t="inlineStr">
        <is>
          <t>EIX</t>
        </is>
      </c>
      <c r="B687" s="44" t="inlineStr">
        <is>
          <t>Edison International</t>
        </is>
      </c>
      <c r="C687" s="44" t="inlineStr">
        <is>
          <t>US</t>
        </is>
      </c>
      <c r="D687" s="44" t="inlineStr">
        <is>
          <t>S&amp;P 500</t>
        </is>
      </c>
      <c r="E687" s="44" t="inlineStr">
        <is>
          <t>Utilities</t>
        </is>
      </c>
      <c r="F687" s="45" t="n">
        <v>28672491520</v>
      </c>
      <c r="G687" s="44" t="inlineStr">
        <is>
          <t>nightly refresh</t>
        </is>
      </c>
      <c r="H687" s="43" t="n">
        <v>325</v>
      </c>
      <c r="I687" s="44" t="inlineStr">
        <is>
          <t>No</t>
        </is>
      </c>
      <c r="J687" s="44" t="inlineStr">
        <is>
          <t>1973-05-03</t>
        </is>
      </c>
      <c r="K687" s="43" t="n">
        <v>6701</v>
      </c>
      <c r="L687" s="44" t="inlineStr">
        <is>
          <t>2000-01-03</t>
        </is>
      </c>
      <c r="M687" s="44" t="inlineStr">
        <is>
          <t>2026-08-25</t>
        </is>
      </c>
      <c r="N687" s="43" t="n">
        <v>317</v>
      </c>
      <c r="O687" s="46" t="n">
        <v>-19.8892</v>
      </c>
      <c r="P687" s="46" t="n">
        <v>-69.5051</v>
      </c>
      <c r="Q687" s="46" t="n">
        <v>41.9772</v>
      </c>
      <c r="R687" s="46" t="n">
        <v>-8.3803</v>
      </c>
      <c r="S687" s="47">
        <f>IF($I687="Yes",$O687,"")</f>
        <v/>
      </c>
    </row>
    <row r="688">
      <c r="A688" s="48" t="inlineStr">
        <is>
          <t>ES</t>
        </is>
      </c>
      <c r="B688" s="49" t="inlineStr">
        <is>
          <t>Eversource Energy</t>
        </is>
      </c>
      <c r="C688" s="49" t="inlineStr">
        <is>
          <t>US</t>
        </is>
      </c>
      <c r="D688" s="49" t="inlineStr">
        <is>
          <t>S&amp;P 500</t>
        </is>
      </c>
      <c r="E688" s="49" t="inlineStr">
        <is>
          <t>Utilities</t>
        </is>
      </c>
      <c r="F688" s="50" t="n">
        <v>26996279296</v>
      </c>
      <c r="G688" s="49" t="inlineStr">
        <is>
          <t>nightly refresh</t>
        </is>
      </c>
      <c r="H688" s="48" t="n">
        <v>341</v>
      </c>
      <c r="I688" s="49" t="inlineStr">
        <is>
          <t>No</t>
        </is>
      </c>
      <c r="J688" s="49" t="inlineStr">
        <is>
          <t>1973-02-21</t>
        </is>
      </c>
      <c r="K688" s="48" t="n">
        <v>6701</v>
      </c>
      <c r="L688" s="49" t="inlineStr">
        <is>
          <t>2000-01-03</t>
        </is>
      </c>
      <c r="M688" s="49" t="inlineStr">
        <is>
          <t>2026-08-25</t>
        </is>
      </c>
      <c r="N688" s="48" t="n">
        <v>285</v>
      </c>
      <c r="O688" s="51" t="n">
        <v>-15.1437</v>
      </c>
      <c r="P688" s="51" t="n">
        <v>-40.9559</v>
      </c>
      <c r="Q688" s="51" t="n">
        <v>27.7324</v>
      </c>
      <c r="R688" s="51" t="n">
        <v>-7.2352</v>
      </c>
      <c r="S688" s="52">
        <f>IF($I688="Yes",$O688,"")</f>
        <v/>
      </c>
    </row>
    <row r="689">
      <c r="A689" s="43" t="inlineStr">
        <is>
          <t>ETR</t>
        </is>
      </c>
      <c r="B689" s="44" t="inlineStr">
        <is>
          <t>Entergy Corporation</t>
        </is>
      </c>
      <c r="C689" s="44" t="inlineStr">
        <is>
          <t>US</t>
        </is>
      </c>
      <c r="D689" s="44" t="inlineStr">
        <is>
          <t>S&amp;P 500</t>
        </is>
      </c>
      <c r="E689" s="44" t="inlineStr">
        <is>
          <t>Utilities</t>
        </is>
      </c>
      <c r="F689" s="45" t="n">
        <v>50036895744</v>
      </c>
      <c r="G689" s="44" t="inlineStr">
        <is>
          <t>nightly refresh</t>
        </is>
      </c>
      <c r="H689" s="43" t="n">
        <v>236</v>
      </c>
      <c r="I689" s="44" t="inlineStr">
        <is>
          <t>No</t>
        </is>
      </c>
      <c r="J689" s="44" t="inlineStr">
        <is>
          <t>1972-06-01</t>
        </is>
      </c>
      <c r="K689" s="43" t="n">
        <v>6701</v>
      </c>
      <c r="L689" s="44" t="inlineStr">
        <is>
          <t>2000-01-03</t>
        </is>
      </c>
      <c r="M689" s="44" t="inlineStr">
        <is>
          <t>2026-08-25</t>
        </is>
      </c>
      <c r="N689" s="43" t="n">
        <v>322</v>
      </c>
      <c r="O689" s="46" t="n">
        <v>-14.3211</v>
      </c>
      <c r="P689" s="46" t="n">
        <v>-49.5381</v>
      </c>
      <c r="Q689" s="46" t="n">
        <v>34.4914</v>
      </c>
      <c r="R689" s="46" t="n">
        <v>-10.3081</v>
      </c>
      <c r="S689" s="47">
        <f>IF($I689="Yes",$O689,"")</f>
        <v/>
      </c>
    </row>
    <row r="690">
      <c r="A690" s="48" t="inlineStr">
        <is>
          <t>EVRG</t>
        </is>
      </c>
      <c r="B690" s="49" t="inlineStr">
        <is>
          <t>Evergy, Inc.</t>
        </is>
      </c>
      <c r="C690" s="49" t="inlineStr">
        <is>
          <t>US</t>
        </is>
      </c>
      <c r="D690" s="49" t="inlineStr">
        <is>
          <t>S&amp;P 500</t>
        </is>
      </c>
      <c r="E690" s="49" t="inlineStr">
        <is>
          <t>Utilities</t>
        </is>
      </c>
      <c r="F690" s="50" t="n">
        <v>18959538176</v>
      </c>
      <c r="G690" s="49" t="inlineStr">
        <is>
          <t>nightly refresh</t>
        </is>
      </c>
      <c r="H690" s="48" t="n">
        <v>411</v>
      </c>
      <c r="I690" s="49" t="inlineStr">
        <is>
          <t>No</t>
        </is>
      </c>
      <c r="J690" s="49" t="inlineStr">
        <is>
          <t>1973-02-21</t>
        </is>
      </c>
      <c r="K690" s="48" t="n">
        <v>6701</v>
      </c>
      <c r="L690" s="49" t="inlineStr">
        <is>
          <t>2000-01-03</t>
        </is>
      </c>
      <c r="M690" s="49" t="inlineStr">
        <is>
          <t>2026-08-25</t>
        </is>
      </c>
      <c r="N690" s="48" t="n">
        <v>293</v>
      </c>
      <c r="O690" s="51" t="n">
        <v>-15.4952</v>
      </c>
      <c r="P690" s="51" t="n">
        <v>-50.5569</v>
      </c>
      <c r="Q690" s="51" t="n">
        <v>31.0672</v>
      </c>
      <c r="R690" s="51" t="n">
        <v>-8.135899999999999</v>
      </c>
      <c r="S690" s="52">
        <f>IF($I690="Yes",$O690,"")</f>
        <v/>
      </c>
    </row>
    <row r="691">
      <c r="A691" s="43" t="inlineStr">
        <is>
          <t>EXC</t>
        </is>
      </c>
      <c r="B691" s="44" t="inlineStr">
        <is>
          <t>Exelon Corporation</t>
        </is>
      </c>
      <c r="C691" s="44" t="inlineStr">
        <is>
          <t>US</t>
        </is>
      </c>
      <c r="D691" s="44" t="inlineStr">
        <is>
          <t>S&amp;P 500</t>
        </is>
      </c>
      <c r="E691" s="44" t="inlineStr">
        <is>
          <t>Utilities</t>
        </is>
      </c>
      <c r="F691" s="45" t="n">
        <v>45784485888</v>
      </c>
      <c r="G691" s="44" t="inlineStr">
        <is>
          <t>nightly refresh</t>
        </is>
      </c>
      <c r="H691" s="43" t="n">
        <v>254</v>
      </c>
      <c r="I691" s="44" t="inlineStr">
        <is>
          <t>No</t>
        </is>
      </c>
      <c r="J691" s="44" t="inlineStr">
        <is>
          <t>1973-05-02</t>
        </is>
      </c>
      <c r="K691" s="43" t="n">
        <v>6701</v>
      </c>
      <c r="L691" s="44" t="inlineStr">
        <is>
          <t>2000-01-03</t>
        </is>
      </c>
      <c r="M691" s="44" t="inlineStr">
        <is>
          <t>2026-08-25</t>
        </is>
      </c>
      <c r="N691" s="43" t="n">
        <v>339</v>
      </c>
      <c r="O691" s="46" t="n">
        <v>-15.7835</v>
      </c>
      <c r="P691" s="46" t="n">
        <v>-55.2615</v>
      </c>
      <c r="Q691" s="46" t="n">
        <v>34.941</v>
      </c>
      <c r="R691" s="46" t="n">
        <v>-11.6946</v>
      </c>
      <c r="S691" s="47">
        <f>IF($I691="Yes",$O691,"")</f>
        <v/>
      </c>
    </row>
    <row r="692">
      <c r="A692" s="48" t="inlineStr">
        <is>
          <t>FE</t>
        </is>
      </c>
      <c r="B692" s="49" t="inlineStr">
        <is>
          <t>FirstEnergy Corp.</t>
        </is>
      </c>
      <c r="C692" s="49" t="inlineStr">
        <is>
          <t>US</t>
        </is>
      </c>
      <c r="D692" s="49" t="inlineStr">
        <is>
          <t>S&amp;P 500</t>
        </is>
      </c>
      <c r="E692" s="49" t="inlineStr">
        <is>
          <t>Utilities</t>
        </is>
      </c>
      <c r="F692" s="50" t="n">
        <v>27039844352</v>
      </c>
      <c r="G692" s="49" t="inlineStr">
        <is>
          <t>nightly refresh</t>
        </is>
      </c>
      <c r="H692" s="48" t="n">
        <v>340</v>
      </c>
      <c r="I692" s="49" t="inlineStr">
        <is>
          <t>No</t>
        </is>
      </c>
      <c r="J692" s="49" t="inlineStr">
        <is>
          <t>1997-11-10</t>
        </is>
      </c>
      <c r="K692" s="48" t="n">
        <v>6701</v>
      </c>
      <c r="L692" s="49" t="inlineStr">
        <is>
          <t>2000-01-03</t>
        </is>
      </c>
      <c r="M692" s="49" t="inlineStr">
        <is>
          <t>2026-08-25</t>
        </is>
      </c>
      <c r="N692" s="48" t="n">
        <v>308</v>
      </c>
      <c r="O692" s="51" t="n">
        <v>-16.4674</v>
      </c>
      <c r="P692" s="51" t="n">
        <v>-56.1656</v>
      </c>
      <c r="Q692" s="51" t="n">
        <v>30.1224</v>
      </c>
      <c r="R692" s="51" t="n">
        <v>-10.0099</v>
      </c>
      <c r="S692" s="52">
        <f>IF($I692="Yes",$O692,"")</f>
        <v/>
      </c>
    </row>
    <row r="693">
      <c r="A693" s="43" t="inlineStr">
        <is>
          <t>LNT</t>
        </is>
      </c>
      <c r="B693" s="44" t="inlineStr">
        <is>
          <t>Alliant Energy Corporation</t>
        </is>
      </c>
      <c r="C693" s="44" t="inlineStr">
        <is>
          <t>US</t>
        </is>
      </c>
      <c r="D693" s="44" t="inlineStr">
        <is>
          <t>S&amp;P 500</t>
        </is>
      </c>
      <c r="E693" s="44" t="inlineStr">
        <is>
          <t>Utilities</t>
        </is>
      </c>
      <c r="F693" s="45" t="n">
        <v>17869901824</v>
      </c>
      <c r="G693" s="44" t="inlineStr">
        <is>
          <t>nightly refresh</t>
        </is>
      </c>
      <c r="H693" s="43" t="n">
        <v>417</v>
      </c>
      <c r="I693" s="44" t="inlineStr">
        <is>
          <t>No</t>
        </is>
      </c>
      <c r="J693" s="44" t="inlineStr">
        <is>
          <t>1973-02-21</t>
        </is>
      </c>
      <c r="K693" s="43" t="n">
        <v>6701</v>
      </c>
      <c r="L693" s="44" t="inlineStr">
        <is>
          <t>2000-01-03</t>
        </is>
      </c>
      <c r="M693" s="44" t="inlineStr">
        <is>
          <t>2026-08-25</t>
        </is>
      </c>
      <c r="N693" s="43" t="n">
        <v>278</v>
      </c>
      <c r="O693" s="46" t="n">
        <v>-14.2445</v>
      </c>
      <c r="P693" s="46" t="n">
        <v>-49.7203</v>
      </c>
      <c r="Q693" s="46" t="n">
        <v>29.7529</v>
      </c>
      <c r="R693" s="46" t="n">
        <v>-12.6257</v>
      </c>
      <c r="S693" s="47">
        <f>IF($I693="Yes",$O693,"")</f>
        <v/>
      </c>
    </row>
    <row r="694">
      <c r="A694" s="48" t="inlineStr">
        <is>
          <t>NEE</t>
        </is>
      </c>
      <c r="B694" s="49" t="inlineStr">
        <is>
          <t>NextEra Energy, Inc.</t>
        </is>
      </c>
      <c r="C694" s="49" t="inlineStr">
        <is>
          <t>US</t>
        </is>
      </c>
      <c r="D694" s="49" t="inlineStr">
        <is>
          <t>S&amp;P 500</t>
        </is>
      </c>
      <c r="E694" s="49" t="inlineStr">
        <is>
          <t>Utilities</t>
        </is>
      </c>
      <c r="F694" s="50" t="n">
        <v>175681093632</v>
      </c>
      <c r="G694" s="49" t="inlineStr">
        <is>
          <t>nightly refresh</t>
        </is>
      </c>
      <c r="H694" s="48" t="n">
        <v>73</v>
      </c>
      <c r="I694" s="49" t="inlineStr">
        <is>
          <t>No</t>
        </is>
      </c>
      <c r="J694" s="49" t="inlineStr">
        <is>
          <t>1973-02-21</t>
        </is>
      </c>
      <c r="K694" s="48" t="n">
        <v>6701</v>
      </c>
      <c r="L694" s="49" t="inlineStr">
        <is>
          <t>2000-01-03</t>
        </is>
      </c>
      <c r="M694" s="49" t="inlineStr">
        <is>
          <t>2026-08-25</t>
        </is>
      </c>
      <c r="N694" s="48" t="n">
        <v>272</v>
      </c>
      <c r="O694" s="51" t="n">
        <v>-14.6009</v>
      </c>
      <c r="P694" s="51" t="n">
        <v>-48.6544</v>
      </c>
      <c r="Q694" s="51" t="n">
        <v>35.0558</v>
      </c>
      <c r="R694" s="51" t="n">
        <v>-14.0892</v>
      </c>
      <c r="S694" s="52">
        <f>IF($I694="Yes",$O694,"")</f>
        <v/>
      </c>
    </row>
    <row r="695">
      <c r="A695" s="43" t="inlineStr">
        <is>
          <t>NI</t>
        </is>
      </c>
      <c r="B695" s="44" t="inlineStr">
        <is>
          <t>NiSource Inc.</t>
        </is>
      </c>
      <c r="C695" s="44" t="inlineStr">
        <is>
          <t>US</t>
        </is>
      </c>
      <c r="D695" s="44" t="inlineStr">
        <is>
          <t>S&amp;P 500</t>
        </is>
      </c>
      <c r="E695" s="44" t="inlineStr">
        <is>
          <t>Utilities</t>
        </is>
      </c>
      <c r="F695" s="45" t="n">
        <v>19724306432</v>
      </c>
      <c r="G695" s="44" t="inlineStr">
        <is>
          <t>nightly refresh</t>
        </is>
      </c>
      <c r="H695" s="43" t="n">
        <v>406</v>
      </c>
      <c r="I695" s="44" t="inlineStr">
        <is>
          <t>No</t>
        </is>
      </c>
      <c r="J695" s="44" t="inlineStr">
        <is>
          <t>1973-02-21</t>
        </is>
      </c>
      <c r="K695" s="43" t="n">
        <v>6701</v>
      </c>
      <c r="L695" s="44" t="inlineStr">
        <is>
          <t>2000-01-03</t>
        </is>
      </c>
      <c r="M695" s="44" t="inlineStr">
        <is>
          <t>2026-08-25</t>
        </is>
      </c>
      <c r="N695" s="43" t="n">
        <v>297</v>
      </c>
      <c r="O695" s="46" t="n">
        <v>-15.1126</v>
      </c>
      <c r="P695" s="46" t="n">
        <v>-55.3978</v>
      </c>
      <c r="Q695" s="46" t="n">
        <v>34.386</v>
      </c>
      <c r="R695" s="46" t="n">
        <v>-17.3948</v>
      </c>
      <c r="S695" s="47">
        <f>IF($I695="Yes",$O695,"")</f>
        <v/>
      </c>
    </row>
    <row r="696">
      <c r="A696" s="48" t="inlineStr">
        <is>
          <t>NRG</t>
        </is>
      </c>
      <c r="B696" s="49" t="inlineStr">
        <is>
          <t>NRG Energy, Inc.</t>
        </is>
      </c>
      <c r="C696" s="49" t="inlineStr">
        <is>
          <t>US</t>
        </is>
      </c>
      <c r="D696" s="49" t="inlineStr">
        <is>
          <t>S&amp;P 500</t>
        </is>
      </c>
      <c r="E696" s="49" t="inlineStr">
        <is>
          <t>Utilities</t>
        </is>
      </c>
      <c r="F696" s="50" t="n">
        <v>24413845504</v>
      </c>
      <c r="G696" s="49" t="inlineStr">
        <is>
          <t>nightly refresh</t>
        </is>
      </c>
      <c r="H696" s="48" t="n">
        <v>369</v>
      </c>
      <c r="I696" s="49" t="inlineStr">
        <is>
          <t>No</t>
        </is>
      </c>
      <c r="J696" s="49" t="inlineStr">
        <is>
          <t>2003-12-02</t>
        </is>
      </c>
      <c r="K696" s="48" t="n">
        <v>5718</v>
      </c>
      <c r="L696" s="49" t="inlineStr">
        <is>
          <t>2003-12-02</t>
        </is>
      </c>
      <c r="M696" s="49" t="inlineStr">
        <is>
          <t>2026-08-25</t>
        </is>
      </c>
      <c r="N696" s="48" t="n">
        <v>296</v>
      </c>
      <c r="O696" s="51" t="n">
        <v>-22.5568</v>
      </c>
      <c r="P696" s="51" t="n">
        <v>-67.85339999999999</v>
      </c>
      <c r="Q696" s="51" t="n">
        <v>61.3708</v>
      </c>
      <c r="R696" s="51" t="n">
        <v>-40.0095</v>
      </c>
      <c r="S696" s="52">
        <f>IF($I696="Yes",$O696,"")</f>
        <v/>
      </c>
    </row>
    <row r="697">
      <c r="A697" s="43" t="inlineStr">
        <is>
          <t>PCG</t>
        </is>
      </c>
      <c r="B697" s="44" t="inlineStr">
        <is>
          <t>PG&amp;E Corporation</t>
        </is>
      </c>
      <c r="C697" s="44" t="inlineStr">
        <is>
          <t>US</t>
        </is>
      </c>
      <c r="D697" s="44" t="inlineStr">
        <is>
          <t>S&amp;P 500</t>
        </is>
      </c>
      <c r="E697" s="44" t="inlineStr">
        <is>
          <t>Utilities</t>
        </is>
      </c>
      <c r="F697" s="45" t="n">
        <v>40127123456</v>
      </c>
      <c r="G697" s="44" t="inlineStr">
        <is>
          <t>nightly refresh</t>
        </is>
      </c>
      <c r="H697" s="43" t="n">
        <v>274</v>
      </c>
      <c r="I697" s="44" t="inlineStr">
        <is>
          <t>No</t>
        </is>
      </c>
      <c r="J697" s="44" t="inlineStr">
        <is>
          <t>1972-06-01</t>
        </is>
      </c>
      <c r="K697" s="43" t="n">
        <v>6701</v>
      </c>
      <c r="L697" s="44" t="inlineStr">
        <is>
          <t>2000-01-03</t>
        </is>
      </c>
      <c r="M697" s="44" t="inlineStr">
        <is>
          <t>2026-08-25</t>
        </is>
      </c>
      <c r="N697" s="43" t="n">
        <v>315</v>
      </c>
      <c r="O697" s="46" t="n">
        <v>-23.2331</v>
      </c>
      <c r="P697" s="46" t="n">
        <v>-92.3108</v>
      </c>
      <c r="Q697" s="46" t="n">
        <v>55.8022</v>
      </c>
      <c r="R697" s="46" t="n">
        <v>-3.9005</v>
      </c>
      <c r="S697" s="47">
        <f>IF($I697="Yes",$O697,"")</f>
        <v/>
      </c>
    </row>
    <row r="698">
      <c r="A698" s="48" t="inlineStr">
        <is>
          <t>PEG</t>
        </is>
      </c>
      <c r="B698" s="49" t="inlineStr">
        <is>
          <t>Public Service Enterprise Group Incorporated</t>
        </is>
      </c>
      <c r="C698" s="49" t="inlineStr">
        <is>
          <t>US</t>
        </is>
      </c>
      <c r="D698" s="49" t="inlineStr">
        <is>
          <t>S&amp;P 500</t>
        </is>
      </c>
      <c r="E698" s="49" t="inlineStr">
        <is>
          <t>Utilities</t>
        </is>
      </c>
      <c r="F698" s="50" t="n">
        <v>36898033664</v>
      </c>
      <c r="G698" s="49" t="inlineStr">
        <is>
          <t>nightly refresh</t>
        </is>
      </c>
      <c r="H698" s="48" t="n">
        <v>287</v>
      </c>
      <c r="I698" s="49" t="inlineStr">
        <is>
          <t>No</t>
        </is>
      </c>
      <c r="J698" s="49" t="inlineStr">
        <is>
          <t>1980-01-02</t>
        </is>
      </c>
      <c r="K698" s="48" t="n">
        <v>6701</v>
      </c>
      <c r="L698" s="49" t="inlineStr">
        <is>
          <t>2000-01-03</t>
        </is>
      </c>
      <c r="M698" s="49" t="inlineStr">
        <is>
          <t>2026-08-25</t>
        </is>
      </c>
      <c r="N698" s="48" t="n">
        <v>336</v>
      </c>
      <c r="O698" s="51" t="n">
        <v>-13.5844</v>
      </c>
      <c r="P698" s="51" t="n">
        <v>-52.6226</v>
      </c>
      <c r="Q698" s="51" t="n">
        <v>33.841</v>
      </c>
      <c r="R698" s="51" t="n">
        <v>-14.9708</v>
      </c>
      <c r="S698" s="52">
        <f>IF($I698="Yes",$O698,"")</f>
        <v/>
      </c>
    </row>
    <row r="699">
      <c r="A699" s="43" t="inlineStr">
        <is>
          <t>PNW</t>
        </is>
      </c>
      <c r="B699" s="44" t="inlineStr">
        <is>
          <t>Pinnacle West Capital Corporation</t>
        </is>
      </c>
      <c r="C699" s="44" t="inlineStr">
        <is>
          <t>US</t>
        </is>
      </c>
      <c r="D699" s="44" t="inlineStr">
        <is>
          <t>S&amp;P 500</t>
        </is>
      </c>
      <c r="E699" s="44" t="inlineStr">
        <is>
          <t>Utilities</t>
        </is>
      </c>
      <c r="F699" s="45" t="n">
        <v>11960954880</v>
      </c>
      <c r="G699" s="44" t="inlineStr">
        <is>
          <t>nightly refresh</t>
        </is>
      </c>
      <c r="H699" s="43" t="n">
        <v>476</v>
      </c>
      <c r="I699" s="44" t="inlineStr">
        <is>
          <t>No</t>
        </is>
      </c>
      <c r="J699" s="44" t="inlineStr">
        <is>
          <t>1973-02-21</t>
        </is>
      </c>
      <c r="K699" s="43" t="n">
        <v>6701</v>
      </c>
      <c r="L699" s="44" t="inlineStr">
        <is>
          <t>2000-01-03</t>
        </is>
      </c>
      <c r="M699" s="44" t="inlineStr">
        <is>
          <t>2026-08-25</t>
        </is>
      </c>
      <c r="N699" s="43" t="n">
        <v>302</v>
      </c>
      <c r="O699" s="46" t="n">
        <v>-14.7949</v>
      </c>
      <c r="P699" s="46" t="n">
        <v>-50.7721</v>
      </c>
      <c r="Q699" s="46" t="n">
        <v>31.4151</v>
      </c>
      <c r="R699" s="46" t="n">
        <v>-11.3367</v>
      </c>
      <c r="S699" s="47">
        <f>IF($I699="Yes",$O699,"")</f>
        <v/>
      </c>
    </row>
    <row r="700">
      <c r="A700" s="48" t="inlineStr">
        <is>
          <t>PPL</t>
        </is>
      </c>
      <c r="B700" s="49" t="inlineStr">
        <is>
          <t>PPL Corporation</t>
        </is>
      </c>
      <c r="C700" s="49" t="inlineStr">
        <is>
          <t>US</t>
        </is>
      </c>
      <c r="D700" s="49" t="inlineStr">
        <is>
          <t>S&amp;P 500</t>
        </is>
      </c>
      <c r="E700" s="49" t="inlineStr">
        <is>
          <t>Utilities</t>
        </is>
      </c>
      <c r="F700" s="50" t="n">
        <v>26354120704</v>
      </c>
      <c r="G700" s="49" t="inlineStr">
        <is>
          <t>nightly refresh</t>
        </is>
      </c>
      <c r="H700" s="48" t="n">
        <v>348</v>
      </c>
      <c r="I700" s="49" t="inlineStr">
        <is>
          <t>No</t>
        </is>
      </c>
      <c r="J700" s="49" t="inlineStr">
        <is>
          <t>1980-03-17</t>
        </is>
      </c>
      <c r="K700" s="48" t="n">
        <v>6701</v>
      </c>
      <c r="L700" s="49" t="inlineStr">
        <is>
          <t>2000-01-03</t>
        </is>
      </c>
      <c r="M700" s="49" t="inlineStr">
        <is>
          <t>2026-08-25</t>
        </is>
      </c>
      <c r="N700" s="48" t="n">
        <v>307</v>
      </c>
      <c r="O700" s="51" t="n">
        <v>-16.2387</v>
      </c>
      <c r="P700" s="51" t="n">
        <v>-53.1673</v>
      </c>
      <c r="Q700" s="51" t="n">
        <v>32.8809</v>
      </c>
      <c r="R700" s="51" t="n">
        <v>-12.0639</v>
      </c>
      <c r="S700" s="52">
        <f>IF($I700="Yes",$O700,"")</f>
        <v/>
      </c>
    </row>
    <row r="701">
      <c r="A701" s="43" t="inlineStr">
        <is>
          <t>SO</t>
        </is>
      </c>
      <c r="B701" s="44" t="inlineStr">
        <is>
          <t>The Southern Company</t>
        </is>
      </c>
      <c r="C701" s="44" t="inlineStr">
        <is>
          <t>US</t>
        </is>
      </c>
      <c r="D701" s="44" t="inlineStr">
        <is>
          <t>S&amp;P 500</t>
        </is>
      </c>
      <c r="E701" s="44" t="inlineStr">
        <is>
          <t>Utilities</t>
        </is>
      </c>
      <c r="F701" s="45" t="n">
        <v>103256588288</v>
      </c>
      <c r="G701" s="44" t="inlineStr">
        <is>
          <t>nightly refresh</t>
        </is>
      </c>
      <c r="H701" s="43" t="n">
        <v>119</v>
      </c>
      <c r="I701" s="44" t="inlineStr">
        <is>
          <t>No</t>
        </is>
      </c>
      <c r="J701" s="44" t="inlineStr">
        <is>
          <t>1981-12-31</t>
        </is>
      </c>
      <c r="K701" s="43" t="n">
        <v>6701</v>
      </c>
      <c r="L701" s="44" t="inlineStr">
        <is>
          <t>2000-01-03</t>
        </is>
      </c>
      <c r="M701" s="44" t="inlineStr">
        <is>
          <t>2026-08-25</t>
        </is>
      </c>
      <c r="N701" s="43" t="n">
        <v>276</v>
      </c>
      <c r="O701" s="46" t="n">
        <v>-11.7914</v>
      </c>
      <c r="P701" s="46" t="n">
        <v>-38.6513</v>
      </c>
      <c r="Q701" s="46" t="n">
        <v>26.1486</v>
      </c>
      <c r="R701" s="46" t="n">
        <v>-9.359299999999999</v>
      </c>
      <c r="S701" s="47">
        <f>IF($I701="Yes",$O701,"")</f>
        <v/>
      </c>
    </row>
    <row r="702">
      <c r="A702" s="48" t="inlineStr">
        <is>
          <t>SRE</t>
        </is>
      </c>
      <c r="B702" s="49" t="inlineStr">
        <is>
          <t>Sempra</t>
        </is>
      </c>
      <c r="C702" s="49" t="inlineStr">
        <is>
          <t>US</t>
        </is>
      </c>
      <c r="D702" s="49" t="inlineStr">
        <is>
          <t>S&amp;P 500</t>
        </is>
      </c>
      <c r="E702" s="49" t="inlineStr">
        <is>
          <t>Utilities</t>
        </is>
      </c>
      <c r="F702" s="50" t="n">
        <v>55764619264</v>
      </c>
      <c r="G702" s="49" t="inlineStr">
        <is>
          <t>nightly refresh</t>
        </is>
      </c>
      <c r="H702" s="48" t="n">
        <v>221</v>
      </c>
      <c r="I702" s="49" t="inlineStr">
        <is>
          <t>No</t>
        </is>
      </c>
      <c r="J702" s="49" t="inlineStr">
        <is>
          <t>1998-06-29</t>
        </is>
      </c>
      <c r="K702" s="48" t="n">
        <v>6701</v>
      </c>
      <c r="L702" s="49" t="inlineStr">
        <is>
          <t>2000-01-03</t>
        </is>
      </c>
      <c r="M702" s="49" t="inlineStr">
        <is>
          <t>2026-08-25</t>
        </is>
      </c>
      <c r="N702" s="48" t="n">
        <v>300</v>
      </c>
      <c r="O702" s="51" t="n">
        <v>-13.3231</v>
      </c>
      <c r="P702" s="51" t="n">
        <v>-45.2523</v>
      </c>
      <c r="Q702" s="51" t="n">
        <v>33.8933</v>
      </c>
      <c r="R702" s="51" t="n">
        <v>-16.8349</v>
      </c>
      <c r="S702" s="52">
        <f>IF($I702="Yes",$O702,"")</f>
        <v/>
      </c>
    </row>
    <row r="703">
      <c r="A703" s="43" t="inlineStr">
        <is>
          <t>VST</t>
        </is>
      </c>
      <c r="B703" s="44" t="inlineStr">
        <is>
          <t>Vistra Corp.</t>
        </is>
      </c>
      <c r="C703" s="44" t="inlineStr">
        <is>
          <t>US</t>
        </is>
      </c>
      <c r="D703" s="44" t="inlineStr">
        <is>
          <t>S&amp;P 500</t>
        </is>
      </c>
      <c r="E703" s="44" t="inlineStr">
        <is>
          <t>Utilities</t>
        </is>
      </c>
      <c r="F703" s="45" t="n">
        <v>46998994944</v>
      </c>
      <c r="G703" s="44" t="inlineStr">
        <is>
          <t>nightly refresh</t>
        </is>
      </c>
      <c r="H703" s="43" t="n">
        <v>250</v>
      </c>
      <c r="I703" s="44" t="inlineStr">
        <is>
          <t>No</t>
        </is>
      </c>
      <c r="J703" s="44" t="inlineStr">
        <is>
          <t>2016-10-05</t>
        </is>
      </c>
      <c r="K703" s="43" t="n">
        <v>2485</v>
      </c>
      <c r="L703" s="44" t="inlineStr">
        <is>
          <t>2016-10-05</t>
        </is>
      </c>
      <c r="M703" s="44" t="inlineStr">
        <is>
          <t>2026-08-25</t>
        </is>
      </c>
      <c r="N703" s="43" t="n">
        <v>149</v>
      </c>
      <c r="O703" s="46" t="n">
        <v>-20.9463</v>
      </c>
      <c r="P703" s="46" t="n">
        <v>-54.3019</v>
      </c>
      <c r="Q703" s="46" t="n">
        <v>75.27589999999999</v>
      </c>
      <c r="R703" s="46" t="n">
        <v>-36.5782</v>
      </c>
      <c r="S703" s="47">
        <f>IF($I703="Yes",$O703,"")</f>
        <v/>
      </c>
    </row>
    <row r="704">
      <c r="A704" s="48" t="inlineStr">
        <is>
          <t>WEC</t>
        </is>
      </c>
      <c r="B704" s="49" t="inlineStr">
        <is>
          <t>WEC Energy Group, Inc.</t>
        </is>
      </c>
      <c r="C704" s="49" t="inlineStr">
        <is>
          <t>US</t>
        </is>
      </c>
      <c r="D704" s="49" t="inlineStr">
        <is>
          <t>S&amp;P 500</t>
        </is>
      </c>
      <c r="E704" s="49" t="inlineStr">
        <is>
          <t>Utilities</t>
        </is>
      </c>
      <c r="F704" s="50" t="n">
        <v>35035324416</v>
      </c>
      <c r="G704" s="49" t="inlineStr">
        <is>
          <t>nightly refresh</t>
        </is>
      </c>
      <c r="H704" s="48" t="n">
        <v>293</v>
      </c>
      <c r="I704" s="49" t="inlineStr">
        <is>
          <t>No</t>
        </is>
      </c>
      <c r="J704" s="49" t="inlineStr">
        <is>
          <t>1980-03-17</t>
        </is>
      </c>
      <c r="K704" s="48" t="n">
        <v>6701</v>
      </c>
      <c r="L704" s="49" t="inlineStr">
        <is>
          <t>2000-01-03</t>
        </is>
      </c>
      <c r="M704" s="49" t="inlineStr">
        <is>
          <t>2026-08-25</t>
        </is>
      </c>
      <c r="N704" s="48" t="n">
        <v>269</v>
      </c>
      <c r="O704" s="51" t="n">
        <v>-11.7294</v>
      </c>
      <c r="P704" s="51" t="n">
        <v>-35.278</v>
      </c>
      <c r="Q704" s="51" t="n">
        <v>27.1277</v>
      </c>
      <c r="R704" s="51" t="n">
        <v>-11.0416</v>
      </c>
      <c r="S704" s="52">
        <f>IF($I704="Yes",$O704,"")</f>
        <v/>
      </c>
    </row>
    <row r="705">
      <c r="A705" s="43" t="inlineStr">
        <is>
          <t>XEL</t>
        </is>
      </c>
      <c r="B705" s="44" t="inlineStr">
        <is>
          <t>Xcel Energy Inc.</t>
        </is>
      </c>
      <c r="C705" s="44" t="inlineStr">
        <is>
          <t>US</t>
        </is>
      </c>
      <c r="D705" s="44" t="inlineStr">
        <is>
          <t>S&amp;P 500</t>
        </is>
      </c>
      <c r="E705" s="44" t="inlineStr">
        <is>
          <t>Utilities</t>
        </is>
      </c>
      <c r="F705" s="45" t="n">
        <v>48521592832</v>
      </c>
      <c r="G705" s="44" t="inlineStr">
        <is>
          <t>nightly refresh</t>
        </is>
      </c>
      <c r="H705" s="43" t="n">
        <v>242</v>
      </c>
      <c r="I705" s="44" t="inlineStr">
        <is>
          <t>No</t>
        </is>
      </c>
      <c r="J705" s="44" t="inlineStr">
        <is>
          <t>1973-02-21</t>
        </is>
      </c>
      <c r="K705" s="43" t="n">
        <v>6701</v>
      </c>
      <c r="L705" s="44" t="inlineStr">
        <is>
          <t>2000-01-03</t>
        </is>
      </c>
      <c r="M705" s="44" t="inlineStr">
        <is>
          <t>2026-08-25</t>
        </is>
      </c>
      <c r="N705" s="43" t="n">
        <v>283</v>
      </c>
      <c r="O705" s="46" t="n">
        <v>-14.1398</v>
      </c>
      <c r="P705" s="46" t="n">
        <v>-79.9759</v>
      </c>
      <c r="Q705" s="46" t="n">
        <v>34.109</v>
      </c>
      <c r="R705" s="46" t="n">
        <v>-7.9428</v>
      </c>
      <c r="S705" s="47">
        <f>IF($I705="Yes",$O705,"")</f>
        <v/>
      </c>
    </row>
    <row r="706">
      <c r="A706" s="48" t="inlineStr">
        <is>
          <t>ABX.TO</t>
        </is>
      </c>
      <c r="B706" s="49" t="inlineStr">
        <is>
          <t>Barrick Mining Corporation</t>
        </is>
      </c>
      <c r="C706" s="49" t="inlineStr">
        <is>
          <t>CA</t>
        </is>
      </c>
      <c r="D706" s="49" t="inlineStr">
        <is>
          <t>S&amp;P/TSX 60</t>
        </is>
      </c>
      <c r="E706" s="49" t="inlineStr">
        <is>
          <t>Basic Materials</t>
        </is>
      </c>
      <c r="F706" s="50" t="n">
        <v>107262287872</v>
      </c>
      <c r="G706" s="49" t="inlineStr">
        <is>
          <t>nightly refresh</t>
        </is>
      </c>
      <c r="H706" s="48" t="n">
        <v>14</v>
      </c>
      <c r="I706" s="49" t="inlineStr">
        <is>
          <t>Yes</t>
        </is>
      </c>
      <c r="J706" s="49" t="inlineStr">
        <is>
          <t>1995-01-12</t>
        </is>
      </c>
      <c r="K706" s="48" t="n">
        <v>6693</v>
      </c>
      <c r="L706" s="49" t="inlineStr">
        <is>
          <t>2000-01-04</t>
        </is>
      </c>
      <c r="M706" s="49" t="inlineStr">
        <is>
          <t>2026-08-25</t>
        </is>
      </c>
      <c r="N706" s="48" t="n">
        <v>385</v>
      </c>
      <c r="O706" s="51" t="n">
        <v>-23.5934</v>
      </c>
      <c r="P706" s="51" t="n">
        <v>-64.2248</v>
      </c>
      <c r="Q706" s="51" t="n">
        <v>46.9338</v>
      </c>
      <c r="R706" s="51" t="n">
        <v>-7.5196</v>
      </c>
      <c r="S706" s="52">
        <f>IF($I706="Yes",$O706,"")</f>
        <v/>
      </c>
    </row>
    <row r="707">
      <c r="A707" s="43" t="inlineStr">
        <is>
          <t>AEM.TO</t>
        </is>
      </c>
      <c r="B707" s="44" t="inlineStr">
        <is>
          <t>Agnico Eagle Mines Limited</t>
        </is>
      </c>
      <c r="C707" s="44" t="inlineStr">
        <is>
          <t>CA</t>
        </is>
      </c>
      <c r="D707" s="44" t="inlineStr">
        <is>
          <t>S&amp;P/TSX 60</t>
        </is>
      </c>
      <c r="E707" s="44" t="inlineStr">
        <is>
          <t>Basic Materials</t>
        </is>
      </c>
      <c r="F707" s="45" t="n">
        <v>150289088512</v>
      </c>
      <c r="G707" s="44" t="inlineStr">
        <is>
          <t>nightly refresh</t>
        </is>
      </c>
      <c r="H707" s="43" t="n">
        <v>7</v>
      </c>
      <c r="I707" s="44" t="inlineStr">
        <is>
          <t>Yes</t>
        </is>
      </c>
      <c r="J707" s="44" t="inlineStr">
        <is>
          <t>1995-01-12</t>
        </is>
      </c>
      <c r="K707" s="43" t="n">
        <v>6693</v>
      </c>
      <c r="L707" s="44" t="inlineStr">
        <is>
          <t>2000-01-04</t>
        </is>
      </c>
      <c r="M707" s="44" t="inlineStr">
        <is>
          <t>2026-08-25</t>
        </is>
      </c>
      <c r="N707" s="43" t="n">
        <v>399</v>
      </c>
      <c r="O707" s="46" t="n">
        <v>-24.0047</v>
      </c>
      <c r="P707" s="46" t="n">
        <v>-66.78740000000001</v>
      </c>
      <c r="Q707" s="46" t="n">
        <v>60.7456</v>
      </c>
      <c r="R707" s="46" t="n">
        <v>-11.1652</v>
      </c>
      <c r="S707" s="47">
        <f>IF($I707="Yes",$O707,"")</f>
        <v/>
      </c>
    </row>
    <row r="708">
      <c r="A708" s="48" t="inlineStr">
        <is>
          <t>FM.TO</t>
        </is>
      </c>
      <c r="B708" s="49" t="inlineStr">
        <is>
          <t>First Quantum Minerals Ltd.</t>
        </is>
      </c>
      <c r="C708" s="49" t="inlineStr">
        <is>
          <t>CA</t>
        </is>
      </c>
      <c r="D708" s="49" t="inlineStr">
        <is>
          <t>S&amp;P/TSX 60</t>
        </is>
      </c>
      <c r="E708" s="49" t="inlineStr">
        <is>
          <t>Basic Materials</t>
        </is>
      </c>
      <c r="F708" s="50" t="n">
        <v>40016871424</v>
      </c>
      <c r="G708" s="49" t="inlineStr">
        <is>
          <t>nightly refresh</t>
        </is>
      </c>
      <c r="H708" s="48" t="n">
        <v>40</v>
      </c>
      <c r="I708" s="49" t="inlineStr">
        <is>
          <t>Yes</t>
        </is>
      </c>
      <c r="J708" s="49" t="inlineStr">
        <is>
          <t>2000-06-30</t>
        </is>
      </c>
      <c r="K708" s="48" t="n">
        <v>6567</v>
      </c>
      <c r="L708" s="49" t="inlineStr">
        <is>
          <t>2000-06-30</t>
        </is>
      </c>
      <c r="M708" s="49" t="inlineStr">
        <is>
          <t>2026-08-25</t>
        </is>
      </c>
      <c r="N708" s="48" t="n">
        <v>378</v>
      </c>
      <c r="O708" s="51" t="n">
        <v>-29.2675</v>
      </c>
      <c r="P708" s="51" t="n">
        <v>-87.3802</v>
      </c>
      <c r="Q708" s="51" t="n">
        <v>124.8863</v>
      </c>
      <c r="R708" s="51" t="n">
        <v>-1.1772</v>
      </c>
      <c r="S708" s="52">
        <f>IF($I708="Yes",$O708,"")</f>
        <v/>
      </c>
    </row>
    <row r="709">
      <c r="A709" s="43" t="inlineStr">
        <is>
          <t>FNV.TO</t>
        </is>
      </c>
      <c r="B709" s="44" t="inlineStr">
        <is>
          <t>Franco-Nevada Corporation</t>
        </is>
      </c>
      <c r="C709" s="44" t="inlineStr">
        <is>
          <t>CA</t>
        </is>
      </c>
      <c r="D709" s="44" t="inlineStr">
        <is>
          <t>S&amp;P/TSX 60</t>
        </is>
      </c>
      <c r="E709" s="44" t="inlineStr">
        <is>
          <t>Basic Materials</t>
        </is>
      </c>
      <c r="F709" s="45" t="n">
        <v>71533035520</v>
      </c>
      <c r="G709" s="44" t="inlineStr">
        <is>
          <t>nightly refresh</t>
        </is>
      </c>
      <c r="H709" s="43" t="n">
        <v>23</v>
      </c>
      <c r="I709" s="44" t="inlineStr">
        <is>
          <t>Yes</t>
        </is>
      </c>
      <c r="J709" s="44" t="inlineStr">
        <is>
          <t>2007-12-03</t>
        </is>
      </c>
      <c r="K709" s="43" t="n">
        <v>4699</v>
      </c>
      <c r="L709" s="44" t="inlineStr">
        <is>
          <t>2007-12-03</t>
        </is>
      </c>
      <c r="M709" s="44" t="inlineStr">
        <is>
          <t>2026-08-25</t>
        </is>
      </c>
      <c r="N709" s="43" t="n">
        <v>268</v>
      </c>
      <c r="O709" s="46" t="n">
        <v>-17.6768</v>
      </c>
      <c r="P709" s="46" t="n">
        <v>-48.3173</v>
      </c>
      <c r="Q709" s="46" t="n">
        <v>50.9275</v>
      </c>
      <c r="R709" s="46" t="n">
        <v>-2.9552</v>
      </c>
      <c r="S709" s="47">
        <f>IF($I709="Yes",$O709,"")</f>
        <v/>
      </c>
    </row>
    <row r="710">
      <c r="A710" s="48" t="inlineStr">
        <is>
          <t>K.TO</t>
        </is>
      </c>
      <c r="B710" s="49" t="inlineStr">
        <is>
          <t>Kinross Gold Corporation</t>
        </is>
      </c>
      <c r="C710" s="49" t="inlineStr">
        <is>
          <t>CA</t>
        </is>
      </c>
      <c r="D710" s="49" t="inlineStr">
        <is>
          <t>S&amp;P/TSX 60</t>
        </is>
      </c>
      <c r="E710" s="49" t="inlineStr">
        <is>
          <t>Basic Materials</t>
        </is>
      </c>
      <c r="F710" s="50" t="n">
        <v>53179174912</v>
      </c>
      <c r="G710" s="49" t="inlineStr">
        <is>
          <t>nightly refresh</t>
        </is>
      </c>
      <c r="H710" s="48" t="n">
        <v>32</v>
      </c>
      <c r="I710" s="49" t="inlineStr">
        <is>
          <t>Yes</t>
        </is>
      </c>
      <c r="J710" s="49" t="inlineStr">
        <is>
          <t>2002-07-08</t>
        </is>
      </c>
      <c r="K710" s="48" t="n">
        <v>6061</v>
      </c>
      <c r="L710" s="49" t="inlineStr">
        <is>
          <t>2002-07-08</t>
        </is>
      </c>
      <c r="M710" s="49" t="inlineStr">
        <is>
          <t>2026-08-25</t>
        </is>
      </c>
      <c r="N710" s="48" t="n">
        <v>354</v>
      </c>
      <c r="O710" s="51" t="n">
        <v>-28.7451</v>
      </c>
      <c r="P710" s="51" t="n">
        <v>-62.9843</v>
      </c>
      <c r="Q710" s="51" t="n">
        <v>67.5286</v>
      </c>
      <c r="R710" s="51" t="n">
        <v>-13.5696</v>
      </c>
      <c r="S710" s="52">
        <f>IF($I710="Yes",$O710,"")</f>
        <v/>
      </c>
    </row>
    <row r="711">
      <c r="A711" s="43" t="inlineStr">
        <is>
          <t>NTR.TO</t>
        </is>
      </c>
      <c r="B711" s="44" t="inlineStr">
        <is>
          <t>Nutrien Ltd.</t>
        </is>
      </c>
      <c r="C711" s="44" t="inlineStr">
        <is>
          <t>CA</t>
        </is>
      </c>
      <c r="D711" s="44" t="inlineStr">
        <is>
          <t>S&amp;P/TSX 60</t>
        </is>
      </c>
      <c r="E711" s="44" t="inlineStr">
        <is>
          <t>Basic Materials</t>
        </is>
      </c>
      <c r="F711" s="45" t="n">
        <v>48761327616</v>
      </c>
      <c r="G711" s="44" t="inlineStr">
        <is>
          <t>nightly refresh</t>
        </is>
      </c>
      <c r="H711" s="43" t="n">
        <v>34</v>
      </c>
      <c r="I711" s="44" t="inlineStr">
        <is>
          <t>Yes</t>
        </is>
      </c>
      <c r="J711" s="44" t="inlineStr">
        <is>
          <t>2018-01-02</t>
        </is>
      </c>
      <c r="K711" s="43" t="n">
        <v>2171</v>
      </c>
      <c r="L711" s="44" t="inlineStr">
        <is>
          <t>2018-01-02</t>
        </is>
      </c>
      <c r="M711" s="44" t="inlineStr">
        <is>
          <t>2026-08-25</t>
        </is>
      </c>
      <c r="N711" s="43" t="n">
        <v>126</v>
      </c>
      <c r="O711" s="46" t="n">
        <v>-19.8725</v>
      </c>
      <c r="P711" s="46" t="n">
        <v>-49.2268</v>
      </c>
      <c r="Q711" s="46" t="n">
        <v>39.792</v>
      </c>
      <c r="R711" s="46" t="n">
        <v>-13.2888</v>
      </c>
      <c r="S711" s="47">
        <f>IF($I711="Yes",$O711,"")</f>
        <v/>
      </c>
    </row>
    <row r="712">
      <c r="A712" s="48" t="inlineStr">
        <is>
          <t>TECK-B.TO</t>
        </is>
      </c>
      <c r="B712" s="49" t="inlineStr">
        <is>
          <t>Teck Resources Limited</t>
        </is>
      </c>
      <c r="C712" s="49" t="inlineStr">
        <is>
          <t>CA</t>
        </is>
      </c>
      <c r="D712" s="49" t="inlineStr">
        <is>
          <t>S&amp;P/TSX 60</t>
        </is>
      </c>
      <c r="E712" s="49" t="inlineStr">
        <is>
          <t>Basic Materials</t>
        </is>
      </c>
      <c r="F712" s="50" t="n">
        <v>48451657728</v>
      </c>
      <c r="G712" s="49" t="inlineStr">
        <is>
          <t>nightly refresh</t>
        </is>
      </c>
      <c r="H712" s="48" t="n">
        <v>35</v>
      </c>
      <c r="I712" s="49" t="inlineStr">
        <is>
          <t>Yes</t>
        </is>
      </c>
      <c r="J712" s="49" t="inlineStr">
        <is>
          <t>1995-01-12</t>
        </is>
      </c>
      <c r="K712" s="48" t="n">
        <v>6739</v>
      </c>
      <c r="L712" s="49" t="inlineStr">
        <is>
          <t>2000-01-03</t>
        </is>
      </c>
      <c r="M712" s="49" t="inlineStr">
        <is>
          <t>2026-08-25</t>
        </is>
      </c>
      <c r="N712" s="48" t="n">
        <v>407</v>
      </c>
      <c r="O712" s="51" t="n">
        <v>-26.6169</v>
      </c>
      <c r="P712" s="51" t="n">
        <v>-93.467</v>
      </c>
      <c r="Q712" s="51" t="n">
        <v>104.2761</v>
      </c>
      <c r="R712" s="51" t="n">
        <v>-0.0606</v>
      </c>
      <c r="S712" s="52">
        <f>IF($I712="Yes",$O712,"")</f>
        <v/>
      </c>
    </row>
    <row r="713">
      <c r="A713" s="43" t="inlineStr">
        <is>
          <t>WPM.TO</t>
        </is>
      </c>
      <c r="B713" s="44" t="inlineStr">
        <is>
          <t>Wheaton Precious Metals Corp.</t>
        </is>
      </c>
      <c r="C713" s="44" t="inlineStr">
        <is>
          <t>CA</t>
        </is>
      </c>
      <c r="D713" s="44" t="inlineStr">
        <is>
          <t>S&amp;P/TSX 60</t>
        </is>
      </c>
      <c r="E713" s="44" t="inlineStr">
        <is>
          <t>Basic Materials</t>
        </is>
      </c>
      <c r="F713" s="45" t="n">
        <v>98252963840</v>
      </c>
      <c r="G713" s="44" t="inlineStr">
        <is>
          <t>nightly refresh</t>
        </is>
      </c>
      <c r="H713" s="43" t="n">
        <v>17</v>
      </c>
      <c r="I713" s="44" t="inlineStr">
        <is>
          <t>Yes</t>
        </is>
      </c>
      <c r="J713" s="44" t="inlineStr">
        <is>
          <t>2004-12-01</t>
        </is>
      </c>
      <c r="K713" s="43" t="n">
        <v>5455</v>
      </c>
      <c r="L713" s="44" t="inlineStr">
        <is>
          <t>2004-12-01</t>
        </is>
      </c>
      <c r="M713" s="44" t="inlineStr">
        <is>
          <t>2026-08-25</t>
        </is>
      </c>
      <c r="N713" s="43" t="n">
        <v>308</v>
      </c>
      <c r="O713" s="46" t="n">
        <v>-23.3735</v>
      </c>
      <c r="P713" s="46" t="n">
        <v>-83.31610000000001</v>
      </c>
      <c r="Q713" s="46" t="n">
        <v>76.3784</v>
      </c>
      <c r="R713" s="46" t="n">
        <v>-0.1898</v>
      </c>
      <c r="S713" s="47">
        <f>IF($I713="Yes",$O713,"")</f>
        <v/>
      </c>
    </row>
    <row r="714">
      <c r="A714" s="48" t="inlineStr">
        <is>
          <t>BCE.TO</t>
        </is>
      </c>
      <c r="B714" s="49" t="inlineStr">
        <is>
          <t>BCE Inc.</t>
        </is>
      </c>
      <c r="C714" s="49" t="inlineStr">
        <is>
          <t>CA</t>
        </is>
      </c>
      <c r="D714" s="49" t="inlineStr">
        <is>
          <t>S&amp;P/TSX 60</t>
        </is>
      </c>
      <c r="E714" s="49" t="inlineStr">
        <is>
          <t>Communication Services</t>
        </is>
      </c>
      <c r="F714" s="50" t="n">
        <v>30344390656</v>
      </c>
      <c r="G714" s="49" t="inlineStr">
        <is>
          <t>nightly refresh</t>
        </is>
      </c>
      <c r="H714" s="48" t="n">
        <v>45</v>
      </c>
      <c r="I714" s="49" t="inlineStr">
        <is>
          <t>Yes</t>
        </is>
      </c>
      <c r="J714" s="49" t="inlineStr">
        <is>
          <t>1996-05-06</t>
        </is>
      </c>
      <c r="K714" s="48" t="n">
        <v>6693</v>
      </c>
      <c r="L714" s="49" t="inlineStr">
        <is>
          <t>2000-01-04</t>
        </is>
      </c>
      <c r="M714" s="49" t="inlineStr">
        <is>
          <t>2026-08-25</t>
        </is>
      </c>
      <c r="N714" s="48" t="n">
        <v>286</v>
      </c>
      <c r="O714" s="51" t="n">
        <v>-16.0704</v>
      </c>
      <c r="P714" s="51" t="n">
        <v>-47.307</v>
      </c>
      <c r="Q714" s="51" t="n">
        <v>24.5897</v>
      </c>
      <c r="R714" s="51" t="n">
        <v>-10.0966</v>
      </c>
      <c r="S714" s="52">
        <f>IF($I714="Yes",$O714,"")</f>
        <v/>
      </c>
    </row>
    <row r="715">
      <c r="A715" s="43" t="inlineStr">
        <is>
          <t>RCI-B.TO</t>
        </is>
      </c>
      <c r="B715" s="44" t="inlineStr">
        <is>
          <t>Rogers Communications Inc.</t>
        </is>
      </c>
      <c r="C715" s="44" t="inlineStr">
        <is>
          <t>CA</t>
        </is>
      </c>
      <c r="D715" s="44" t="inlineStr">
        <is>
          <t>S&amp;P/TSX 60</t>
        </is>
      </c>
      <c r="E715" s="44" t="inlineStr">
        <is>
          <t>Communication Services</t>
        </is>
      </c>
      <c r="F715" s="45" t="n">
        <v>27708155904</v>
      </c>
      <c r="G715" s="44" t="inlineStr">
        <is>
          <t>nightly refresh</t>
        </is>
      </c>
      <c r="H715" s="43" t="n">
        <v>46</v>
      </c>
      <c r="I715" s="44" t="inlineStr">
        <is>
          <t>Yes</t>
        </is>
      </c>
      <c r="J715" s="44" t="inlineStr">
        <is>
          <t>1995-01-12</t>
        </is>
      </c>
      <c r="K715" s="43" t="n">
        <v>6693</v>
      </c>
      <c r="L715" s="44" t="inlineStr">
        <is>
          <t>2000-01-04</t>
        </is>
      </c>
      <c r="M715" s="44" t="inlineStr">
        <is>
          <t>2026-08-25</t>
        </is>
      </c>
      <c r="N715" s="43" t="n">
        <v>342</v>
      </c>
      <c r="O715" s="46" t="n">
        <v>-18.7998</v>
      </c>
      <c r="P715" s="46" t="n">
        <v>-69.5591</v>
      </c>
      <c r="Q715" s="46" t="n">
        <v>35.0673</v>
      </c>
      <c r="R715" s="46" t="n">
        <v>-8.3308</v>
      </c>
      <c r="S715" s="47">
        <f>IF($I715="Yes",$O715,"")</f>
        <v/>
      </c>
    </row>
    <row r="716">
      <c r="A716" s="48" t="inlineStr">
        <is>
          <t>T.TO</t>
        </is>
      </c>
      <c r="B716" s="49" t="inlineStr">
        <is>
          <t>TELUS Corporation</t>
        </is>
      </c>
      <c r="C716" s="49" t="inlineStr">
        <is>
          <t>CA</t>
        </is>
      </c>
      <c r="D716" s="49" t="inlineStr">
        <is>
          <t>S&amp;P/TSX 60</t>
        </is>
      </c>
      <c r="E716" s="49" t="inlineStr">
        <is>
          <t>Communication Services</t>
        </is>
      </c>
      <c r="F716" s="50" t="n">
        <v>21152251904</v>
      </c>
      <c r="G716" s="49" t="inlineStr">
        <is>
          <t>nightly refresh</t>
        </is>
      </c>
      <c r="H716" s="48" t="n">
        <v>51</v>
      </c>
      <c r="I716" s="49" t="inlineStr">
        <is>
          <t>Yes</t>
        </is>
      </c>
      <c r="J716" s="49" t="inlineStr">
        <is>
          <t>1995-01-12</t>
        </is>
      </c>
      <c r="K716" s="48" t="n">
        <v>6693</v>
      </c>
      <c r="L716" s="49" t="inlineStr">
        <is>
          <t>2000-01-04</t>
        </is>
      </c>
      <c r="M716" s="49" t="inlineStr">
        <is>
          <t>2026-08-25</t>
        </is>
      </c>
      <c r="N716" s="48" t="n">
        <v>294</v>
      </c>
      <c r="O716" s="51" t="n">
        <v>-17.7739</v>
      </c>
      <c r="P716" s="51" t="n">
        <v>-77.5963</v>
      </c>
      <c r="Q716" s="51" t="n">
        <v>36.0492</v>
      </c>
      <c r="R716" s="51" t="n">
        <v>-35.6631</v>
      </c>
      <c r="S716" s="52">
        <f>IF($I716="Yes",$O716,"")</f>
        <v/>
      </c>
    </row>
    <row r="717">
      <c r="A717" s="43" t="inlineStr">
        <is>
          <t>ATD.TO</t>
        </is>
      </c>
      <c r="B717" s="44" t="inlineStr">
        <is>
          <t>Alimentation Couche-Tard Inc.</t>
        </is>
      </c>
      <c r="C717" s="44" t="inlineStr">
        <is>
          <t>CA</t>
        </is>
      </c>
      <c r="D717" s="44" t="inlineStr">
        <is>
          <t>S&amp;P/TSX 60</t>
        </is>
      </c>
      <c r="E717" s="44" t="inlineStr">
        <is>
          <t>Consumer Cyclical</t>
        </is>
      </c>
      <c r="F717" s="45" t="n">
        <v>77356703744</v>
      </c>
      <c r="G717" s="44" t="inlineStr">
        <is>
          <t>nightly refresh</t>
        </is>
      </c>
      <c r="H717" s="43" t="n">
        <v>22</v>
      </c>
      <c r="I717" s="44" t="inlineStr">
        <is>
          <t>Yes</t>
        </is>
      </c>
      <c r="J717" s="44" t="inlineStr">
        <is>
          <t>1996-08-06</t>
        </is>
      </c>
      <c r="K717" s="43" t="n">
        <v>6693</v>
      </c>
      <c r="L717" s="44" t="inlineStr">
        <is>
          <t>2000-01-04</t>
        </is>
      </c>
      <c r="M717" s="44" t="inlineStr">
        <is>
          <t>2026-08-25</t>
        </is>
      </c>
      <c r="N717" s="43" t="n">
        <v>288</v>
      </c>
      <c r="O717" s="46" t="n">
        <v>-15.5992</v>
      </c>
      <c r="P717" s="46" t="n">
        <v>-56.5354</v>
      </c>
      <c r="Q717" s="46" t="n">
        <v>46.5578</v>
      </c>
      <c r="R717" s="46" t="n">
        <v>-10.2606</v>
      </c>
      <c r="S717" s="47">
        <f>IF($I717="Yes",$O717,"")</f>
        <v/>
      </c>
    </row>
    <row r="718">
      <c r="A718" s="48" t="inlineStr">
        <is>
          <t>CCL-B.TO</t>
        </is>
      </c>
      <c r="B718" s="49" t="inlineStr">
        <is>
          <t>CCL Industries Inc.</t>
        </is>
      </c>
      <c r="C718" s="49" t="inlineStr">
        <is>
          <t>CA</t>
        </is>
      </c>
      <c r="D718" s="49" t="inlineStr">
        <is>
          <t>S&amp;P/TSX 60</t>
        </is>
      </c>
      <c r="E718" s="49" t="inlineStr">
        <is>
          <t>Consumer Cyclical</t>
        </is>
      </c>
      <c r="F718" s="50" t="n">
        <v>15673450496</v>
      </c>
      <c r="G718" s="49" t="inlineStr">
        <is>
          <t>nightly refresh</t>
        </is>
      </c>
      <c r="H718" s="48" t="n">
        <v>55</v>
      </c>
      <c r="I718" s="49" t="inlineStr">
        <is>
          <t>Yes</t>
        </is>
      </c>
      <c r="J718" s="49" t="inlineStr">
        <is>
          <t>1995-01-12</t>
        </is>
      </c>
      <c r="K718" s="48" t="n">
        <v>6693</v>
      </c>
      <c r="L718" s="49" t="inlineStr">
        <is>
          <t>2000-01-04</t>
        </is>
      </c>
      <c r="M718" s="49" t="inlineStr">
        <is>
          <t>2026-08-25</t>
        </is>
      </c>
      <c r="N718" s="48" t="n">
        <v>352</v>
      </c>
      <c r="O718" s="51" t="n">
        <v>-16.217</v>
      </c>
      <c r="P718" s="51" t="n">
        <v>-48.3926</v>
      </c>
      <c r="Q718" s="51" t="n">
        <v>45.282</v>
      </c>
      <c r="R718" s="51" t="n">
        <v>-5.3149</v>
      </c>
      <c r="S718" s="52">
        <f>IF($I718="Yes",$O718,"")</f>
        <v/>
      </c>
    </row>
    <row r="719">
      <c r="A719" s="43" t="inlineStr">
        <is>
          <t>CTC-A.TO</t>
        </is>
      </c>
      <c r="B719" s="44" t="inlineStr">
        <is>
          <t>Canadian Tire Corporation, Limited</t>
        </is>
      </c>
      <c r="C719" s="44" t="inlineStr">
        <is>
          <t>CA</t>
        </is>
      </c>
      <c r="D719" s="44" t="inlineStr">
        <is>
          <t>S&amp;P/TSX 60</t>
        </is>
      </c>
      <c r="E719" s="44" t="inlineStr">
        <is>
          <t>Consumer Cyclical</t>
        </is>
      </c>
      <c r="F719" s="45" t="n">
        <v>9736945664</v>
      </c>
      <c r="G719" s="44" t="inlineStr">
        <is>
          <t>nightly refresh</t>
        </is>
      </c>
      <c r="H719" s="43" t="n">
        <v>58</v>
      </c>
      <c r="I719" s="44" t="inlineStr">
        <is>
          <t>Yes</t>
        </is>
      </c>
      <c r="J719" s="44" t="inlineStr">
        <is>
          <t>1986-01-02</t>
        </is>
      </c>
      <c r="K719" s="43" t="n">
        <v>6690</v>
      </c>
      <c r="L719" s="44" t="inlineStr">
        <is>
          <t>2000-01-04</t>
        </is>
      </c>
      <c r="M719" s="44" t="inlineStr">
        <is>
          <t>2026-08-25</t>
        </is>
      </c>
      <c r="N719" s="43" t="n">
        <v>324</v>
      </c>
      <c r="O719" s="46" t="n">
        <v>-16.3055</v>
      </c>
      <c r="P719" s="46" t="n">
        <v>-58.6445</v>
      </c>
      <c r="Q719" s="46" t="n">
        <v>35.3893</v>
      </c>
      <c r="R719" s="46" t="n">
        <v>-8.394399999999999</v>
      </c>
      <c r="S719" s="47">
        <f>IF($I719="Yes",$O719,"")</f>
        <v/>
      </c>
    </row>
    <row r="720">
      <c r="A720" s="48" t="inlineStr">
        <is>
          <t>GIL.TO</t>
        </is>
      </c>
      <c r="B720" s="49" t="inlineStr">
        <is>
          <t>Gildan Activewear Inc.</t>
        </is>
      </c>
      <c r="C720" s="49" t="inlineStr">
        <is>
          <t>CA</t>
        </is>
      </c>
      <c r="D720" s="49" t="inlineStr">
        <is>
          <t>S&amp;P/TSX 60</t>
        </is>
      </c>
      <c r="E720" s="49" t="inlineStr">
        <is>
          <t>Consumer Cyclical</t>
        </is>
      </c>
      <c r="F720" s="50" t="n">
        <v>13769013248</v>
      </c>
      <c r="G720" s="49" t="inlineStr">
        <is>
          <t>nightly refresh</t>
        </is>
      </c>
      <c r="H720" s="48" t="n">
        <v>56</v>
      </c>
      <c r="I720" s="49" t="inlineStr">
        <is>
          <t>Yes</t>
        </is>
      </c>
      <c r="J720" s="49" t="inlineStr">
        <is>
          <t>1998-06-29</t>
        </is>
      </c>
      <c r="K720" s="48" t="n">
        <v>6693</v>
      </c>
      <c r="L720" s="49" t="inlineStr">
        <is>
          <t>2000-01-04</t>
        </is>
      </c>
      <c r="M720" s="49" t="inlineStr">
        <is>
          <t>2026-08-25</t>
        </is>
      </c>
      <c r="N720" s="48" t="n">
        <v>336</v>
      </c>
      <c r="O720" s="51" t="n">
        <v>-20.6808</v>
      </c>
      <c r="P720" s="51" t="n">
        <v>-81.4371</v>
      </c>
      <c r="Q720" s="51" t="n">
        <v>63.598</v>
      </c>
      <c r="R720" s="51" t="n">
        <v>-24.1638</v>
      </c>
      <c r="S720" s="52">
        <f>IF($I720="Yes",$O720,"")</f>
        <v/>
      </c>
    </row>
    <row r="721">
      <c r="A721" s="43" t="inlineStr">
        <is>
          <t>MG.TO</t>
        </is>
      </c>
      <c r="B721" s="44" t="inlineStr">
        <is>
          <t>Magna International Inc.</t>
        </is>
      </c>
      <c r="C721" s="44" t="inlineStr">
        <is>
          <t>CA</t>
        </is>
      </c>
      <c r="D721" s="44" t="inlineStr">
        <is>
          <t>S&amp;P/TSX 60</t>
        </is>
      </c>
      <c r="E721" s="44" t="inlineStr">
        <is>
          <t>Consumer Cyclical</t>
        </is>
      </c>
      <c r="F721" s="45" t="n">
        <v>24478064640</v>
      </c>
      <c r="G721" s="44" t="inlineStr">
        <is>
          <t>nightly refresh</t>
        </is>
      </c>
      <c r="H721" s="43" t="n">
        <v>48</v>
      </c>
      <c r="I721" s="44" t="inlineStr">
        <is>
          <t>Yes</t>
        </is>
      </c>
      <c r="J721" s="44" t="inlineStr">
        <is>
          <t>2004-12-01</t>
        </is>
      </c>
      <c r="K721" s="43" t="n">
        <v>5455</v>
      </c>
      <c r="L721" s="44" t="inlineStr">
        <is>
          <t>2004-12-01</t>
        </is>
      </c>
      <c r="M721" s="44" t="inlineStr">
        <is>
          <t>2026-08-25</t>
        </is>
      </c>
      <c r="N721" s="43" t="n">
        <v>293</v>
      </c>
      <c r="O721" s="46" t="n">
        <v>-21.0413</v>
      </c>
      <c r="P721" s="46" t="n">
        <v>-67.6759</v>
      </c>
      <c r="Q721" s="46" t="n">
        <v>50.389</v>
      </c>
      <c r="R721" s="46" t="n">
        <v>-9.477600000000001</v>
      </c>
      <c r="S721" s="47">
        <f>IF($I721="Yes",$O721,"")</f>
        <v/>
      </c>
    </row>
    <row r="722">
      <c r="A722" s="48" t="inlineStr">
        <is>
          <t>QSR.TO</t>
        </is>
      </c>
      <c r="B722" s="49" t="inlineStr">
        <is>
          <t>Restaurant Brands International Inc.</t>
        </is>
      </c>
      <c r="C722" s="49" t="inlineStr">
        <is>
          <t>CA</t>
        </is>
      </c>
      <c r="D722" s="49" t="inlineStr">
        <is>
          <t>S&amp;P/TSX 60</t>
        </is>
      </c>
      <c r="E722" s="49" t="inlineStr">
        <is>
          <t>Consumer Cyclical</t>
        </is>
      </c>
      <c r="F722" s="50" t="n">
        <v>50456342528</v>
      </c>
      <c r="G722" s="49" t="inlineStr">
        <is>
          <t>nightly refresh</t>
        </is>
      </c>
      <c r="H722" s="48" t="n">
        <v>33</v>
      </c>
      <c r="I722" s="49" t="inlineStr">
        <is>
          <t>Yes</t>
        </is>
      </c>
      <c r="J722" s="49" t="inlineStr">
        <is>
          <t>2014-12-11</t>
        </is>
      </c>
      <c r="K722" s="48" t="n">
        <v>2935</v>
      </c>
      <c r="L722" s="49" t="inlineStr">
        <is>
          <t>2014-12-11</t>
        </is>
      </c>
      <c r="M722" s="49" t="inlineStr">
        <is>
          <t>2026-08-25</t>
        </is>
      </c>
      <c r="N722" s="48" t="n">
        <v>141</v>
      </c>
      <c r="O722" s="51" t="n">
        <v>-14.6363</v>
      </c>
      <c r="P722" s="51" t="n">
        <v>-60.5964</v>
      </c>
      <c r="Q722" s="51" t="n">
        <v>38.9849</v>
      </c>
      <c r="R722" s="51" t="n">
        <v>-0.1945</v>
      </c>
      <c r="S722" s="52">
        <f>IF($I722="Yes",$O722,"")</f>
        <v/>
      </c>
    </row>
    <row r="723">
      <c r="A723" s="43" t="inlineStr">
        <is>
          <t>DOL.TO</t>
        </is>
      </c>
      <c r="B723" s="44" t="inlineStr">
        <is>
          <t>Dollarama Inc.</t>
        </is>
      </c>
      <c r="C723" s="44" t="inlineStr">
        <is>
          <t>CA</t>
        </is>
      </c>
      <c r="D723" s="44" t="inlineStr">
        <is>
          <t>S&amp;P/TSX 60</t>
        </is>
      </c>
      <c r="E723" s="44" t="inlineStr">
        <is>
          <t>Consumer Defensive</t>
        </is>
      </c>
      <c r="F723" s="45" t="n">
        <v>47375519977.41518</v>
      </c>
      <c r="G723" s="44" t="inlineStr">
        <is>
          <t>re-fetched 28 Aug 2026</t>
        </is>
      </c>
      <c r="H723" s="43" t="n">
        <v>36</v>
      </c>
      <c r="I723" s="44" t="inlineStr">
        <is>
          <t>Yes</t>
        </is>
      </c>
      <c r="J723" s="44" t="inlineStr">
        <is>
          <t>2009-10-09</t>
        </is>
      </c>
      <c r="K723" s="43" t="n">
        <v>4234</v>
      </c>
      <c r="L723" s="44" t="inlineStr">
        <is>
          <t>2009-10-09</t>
        </is>
      </c>
      <c r="M723" s="44" t="inlineStr">
        <is>
          <t>2026-08-25</t>
        </is>
      </c>
      <c r="N723" s="43" t="n">
        <v>174</v>
      </c>
      <c r="O723" s="46" t="n">
        <v>-12.2773</v>
      </c>
      <c r="P723" s="46" t="n">
        <v>-45.2931</v>
      </c>
      <c r="Q723" s="46" t="n">
        <v>45.1438</v>
      </c>
      <c r="R723" s="46" t="n">
        <v>-12.5192</v>
      </c>
      <c r="S723" s="47">
        <f>IF($I723="Yes",$O723,"")</f>
        <v/>
      </c>
    </row>
    <row r="724">
      <c r="A724" s="48" t="inlineStr">
        <is>
          <t>L.TO</t>
        </is>
      </c>
      <c r="B724" s="49" t="inlineStr">
        <is>
          <t>Loblaw Companies Limited</t>
        </is>
      </c>
      <c r="C724" s="49" t="inlineStr">
        <is>
          <t>CA</t>
        </is>
      </c>
      <c r="D724" s="49" t="inlineStr">
        <is>
          <t>S&amp;P/TSX 60</t>
        </is>
      </c>
      <c r="E724" s="49" t="inlineStr">
        <is>
          <t>Consumer Defensive</t>
        </is>
      </c>
      <c r="F724" s="50" t="n">
        <v>71011696640</v>
      </c>
      <c r="G724" s="49" t="inlineStr">
        <is>
          <t>nightly refresh</t>
        </is>
      </c>
      <c r="H724" s="48" t="n">
        <v>24</v>
      </c>
      <c r="I724" s="49" t="inlineStr">
        <is>
          <t>Yes</t>
        </is>
      </c>
      <c r="J724" s="49" t="inlineStr">
        <is>
          <t>1995-01-12</t>
        </is>
      </c>
      <c r="K724" s="48" t="n">
        <v>6693</v>
      </c>
      <c r="L724" s="49" t="inlineStr">
        <is>
          <t>2000-01-04</t>
        </is>
      </c>
      <c r="M724" s="49" t="inlineStr">
        <is>
          <t>2026-08-25</t>
        </is>
      </c>
      <c r="N724" s="48" t="n">
        <v>317</v>
      </c>
      <c r="O724" s="51" t="n">
        <v>-13.3867</v>
      </c>
      <c r="P724" s="51" t="n">
        <v>-49.7368</v>
      </c>
      <c r="Q724" s="51" t="n">
        <v>28.6071</v>
      </c>
      <c r="R724" s="51" t="n">
        <v>-11.7841</v>
      </c>
      <c r="S724" s="52">
        <f>IF($I724="Yes",$O724,"")</f>
        <v/>
      </c>
    </row>
    <row r="725">
      <c r="A725" s="43" t="inlineStr">
        <is>
          <t>MRU.TO</t>
        </is>
      </c>
      <c r="B725" s="44" t="inlineStr">
        <is>
          <t>Metro Inc.</t>
        </is>
      </c>
      <c r="C725" s="44" t="inlineStr">
        <is>
          <t>CA</t>
        </is>
      </c>
      <c r="D725" s="44" t="inlineStr">
        <is>
          <t>S&amp;P/TSX 60</t>
        </is>
      </c>
      <c r="E725" s="44" t="inlineStr">
        <is>
          <t>Consumer Defensive</t>
        </is>
      </c>
      <c r="F725" s="45" t="n">
        <v>18877976576</v>
      </c>
      <c r="G725" s="44" t="inlineStr">
        <is>
          <t>nightly refresh</t>
        </is>
      </c>
      <c r="H725" s="43" t="n">
        <v>53</v>
      </c>
      <c r="I725" s="44" t="inlineStr">
        <is>
          <t>Yes</t>
        </is>
      </c>
      <c r="J725" s="44" t="inlineStr">
        <is>
          <t>1995-01-12</t>
        </is>
      </c>
      <c r="K725" s="43" t="n">
        <v>6693</v>
      </c>
      <c r="L725" s="44" t="inlineStr">
        <is>
          <t>2000-01-04</t>
        </is>
      </c>
      <c r="M725" s="44" t="inlineStr">
        <is>
          <t>2026-08-25</t>
        </is>
      </c>
      <c r="N725" s="43" t="n">
        <v>287</v>
      </c>
      <c r="O725" s="46" t="n">
        <v>-12.7171</v>
      </c>
      <c r="P725" s="46" t="n">
        <v>-48.6495</v>
      </c>
      <c r="Q725" s="46" t="n">
        <v>31.3379</v>
      </c>
      <c r="R725" s="46" t="n">
        <v>-10.3978</v>
      </c>
      <c r="S725" s="47">
        <f>IF($I725="Yes",$O725,"")</f>
        <v/>
      </c>
    </row>
    <row r="726">
      <c r="A726" s="48" t="inlineStr">
        <is>
          <t>SAP.TO</t>
        </is>
      </c>
      <c r="B726" s="49" t="inlineStr">
        <is>
          <t>Saputo Inc.</t>
        </is>
      </c>
      <c r="C726" s="49" t="inlineStr">
        <is>
          <t>CA</t>
        </is>
      </c>
      <c r="D726" s="49" t="inlineStr">
        <is>
          <t>S&amp;P/TSX 60</t>
        </is>
      </c>
      <c r="E726" s="49" t="inlineStr">
        <is>
          <t>Consumer Defensive</t>
        </is>
      </c>
      <c r="F726" s="50" t="n">
        <v>16270633984</v>
      </c>
      <c r="G726" s="49" t="inlineStr">
        <is>
          <t>nightly refresh</t>
        </is>
      </c>
      <c r="H726" s="48" t="n">
        <v>54</v>
      </c>
      <c r="I726" s="49" t="inlineStr">
        <is>
          <t>Yes</t>
        </is>
      </c>
      <c r="J726" s="49" t="inlineStr">
        <is>
          <t>1997-10-24</t>
        </is>
      </c>
      <c r="K726" s="48" t="n">
        <v>6693</v>
      </c>
      <c r="L726" s="49" t="inlineStr">
        <is>
          <t>2000-01-04</t>
        </is>
      </c>
      <c r="M726" s="49" t="inlineStr">
        <is>
          <t>2026-08-25</t>
        </is>
      </c>
      <c r="N726" s="48" t="n">
        <v>333</v>
      </c>
      <c r="O726" s="51" t="n">
        <v>-15.4678</v>
      </c>
      <c r="P726" s="51" t="n">
        <v>-40.4749</v>
      </c>
      <c r="Q726" s="51" t="n">
        <v>33.679</v>
      </c>
      <c r="R726" s="51" t="n">
        <v>-9.492100000000001</v>
      </c>
      <c r="S726" s="52">
        <f>IF($I726="Yes",$O726,"")</f>
        <v/>
      </c>
    </row>
    <row r="727">
      <c r="A727" s="43" t="inlineStr">
        <is>
          <t>WN.TO</t>
        </is>
      </c>
      <c r="B727" s="44" t="inlineStr">
        <is>
          <t>George Weston Limited</t>
        </is>
      </c>
      <c r="C727" s="44" t="inlineStr">
        <is>
          <t>CA</t>
        </is>
      </c>
      <c r="D727" s="44" t="inlineStr">
        <is>
          <t>S&amp;P/TSX 60</t>
        </is>
      </c>
      <c r="E727" s="44" t="inlineStr">
        <is>
          <t>Consumer Defensive</t>
        </is>
      </c>
      <c r="F727" s="45" t="n">
        <v>36874010624</v>
      </c>
      <c r="G727" s="44" t="inlineStr">
        <is>
          <t>nightly refresh</t>
        </is>
      </c>
      <c r="H727" s="43" t="n">
        <v>43</v>
      </c>
      <c r="I727" s="44" t="inlineStr">
        <is>
          <t>Yes</t>
        </is>
      </c>
      <c r="J727" s="44" t="inlineStr">
        <is>
          <t>1995-01-12</t>
        </is>
      </c>
      <c r="K727" s="43" t="n">
        <v>6693</v>
      </c>
      <c r="L727" s="44" t="inlineStr">
        <is>
          <t>2000-01-04</t>
        </is>
      </c>
      <c r="M727" s="44" t="inlineStr">
        <is>
          <t>2026-08-25</t>
        </is>
      </c>
      <c r="N727" s="43" t="n">
        <v>328</v>
      </c>
      <c r="O727" s="46" t="n">
        <v>-14.2464</v>
      </c>
      <c r="P727" s="46" t="n">
        <v>-46.7875</v>
      </c>
      <c r="Q727" s="46" t="n">
        <v>28.8405</v>
      </c>
      <c r="R727" s="46" t="n">
        <v>-8.893800000000001</v>
      </c>
      <c r="S727" s="47">
        <f>IF($I727="Yes",$O727,"")</f>
        <v/>
      </c>
    </row>
    <row r="728">
      <c r="A728" s="48" t="inlineStr">
        <is>
          <t>CCO.TO</t>
        </is>
      </c>
      <c r="B728" s="49" t="inlineStr">
        <is>
          <t>Cameco Corporation</t>
        </is>
      </c>
      <c r="C728" s="49" t="inlineStr">
        <is>
          <t>CA</t>
        </is>
      </c>
      <c r="D728" s="49" t="inlineStr">
        <is>
          <t>S&amp;P/TSX 60</t>
        </is>
      </c>
      <c r="E728" s="49" t="inlineStr">
        <is>
          <t>Energy</t>
        </is>
      </c>
      <c r="F728" s="50" t="n">
        <v>64920547328</v>
      </c>
      <c r="G728" s="49" t="inlineStr">
        <is>
          <t>nightly refresh</t>
        </is>
      </c>
      <c r="H728" s="48" t="n">
        <v>26</v>
      </c>
      <c r="I728" s="49" t="inlineStr">
        <is>
          <t>Yes</t>
        </is>
      </c>
      <c r="J728" s="49" t="inlineStr">
        <is>
          <t>1995-01-12</t>
        </is>
      </c>
      <c r="K728" s="48" t="n">
        <v>6693</v>
      </c>
      <c r="L728" s="49" t="inlineStr">
        <is>
          <t>2000-01-04</t>
        </is>
      </c>
      <c r="M728" s="49" t="inlineStr">
        <is>
          <t>2026-08-25</t>
        </is>
      </c>
      <c r="N728" s="48" t="n">
        <v>416</v>
      </c>
      <c r="O728" s="51" t="n">
        <v>-22.9639</v>
      </c>
      <c r="P728" s="51" t="n">
        <v>-67.9346</v>
      </c>
      <c r="Q728" s="51" t="n">
        <v>66.374</v>
      </c>
      <c r="R728" s="51" t="n">
        <v>-19.1003</v>
      </c>
      <c r="S728" s="52">
        <f>IF($I728="Yes",$O728,"")</f>
        <v/>
      </c>
    </row>
    <row r="729">
      <c r="A729" s="43" t="inlineStr">
        <is>
          <t>CNQ.TO</t>
        </is>
      </c>
      <c r="B729" s="44" t="inlineStr">
        <is>
          <t>Canadian Natural Resources Limited</t>
        </is>
      </c>
      <c r="C729" s="44" t="inlineStr">
        <is>
          <t>CA</t>
        </is>
      </c>
      <c r="D729" s="44" t="inlineStr">
        <is>
          <t>S&amp;P/TSX 60</t>
        </is>
      </c>
      <c r="E729" s="44" t="inlineStr">
        <is>
          <t>Energy</t>
        </is>
      </c>
      <c r="F729" s="45" t="n">
        <v>142099202048</v>
      </c>
      <c r="G729" s="44" t="inlineStr">
        <is>
          <t>nightly refresh</t>
        </is>
      </c>
      <c r="H729" s="43" t="n">
        <v>9</v>
      </c>
      <c r="I729" s="44" t="inlineStr">
        <is>
          <t>Yes</t>
        </is>
      </c>
      <c r="J729" s="44" t="inlineStr">
        <is>
          <t>1995-01-12</t>
        </is>
      </c>
      <c r="K729" s="43" t="n">
        <v>6693</v>
      </c>
      <c r="L729" s="44" t="inlineStr">
        <is>
          <t>2000-01-04</t>
        </is>
      </c>
      <c r="M729" s="44" t="inlineStr">
        <is>
          <t>2026-08-25</t>
        </is>
      </c>
      <c r="N729" s="43" t="n">
        <v>375</v>
      </c>
      <c r="O729" s="46" t="n">
        <v>-19.7801</v>
      </c>
      <c r="P729" s="46" t="n">
        <v>-74.1602</v>
      </c>
      <c r="Q729" s="46" t="n">
        <v>58.3552</v>
      </c>
      <c r="R729" s="46" t="n">
        <v>-3.254</v>
      </c>
      <c r="S729" s="47">
        <f>IF($I729="Yes",$O729,"")</f>
        <v/>
      </c>
    </row>
    <row r="730">
      <c r="A730" s="48" t="inlineStr">
        <is>
          <t>CVE.TO</t>
        </is>
      </c>
      <c r="B730" s="49" t="inlineStr">
        <is>
          <t>Cenovus Energy Inc.</t>
        </is>
      </c>
      <c r="C730" s="49" t="inlineStr">
        <is>
          <t>CA</t>
        </is>
      </c>
      <c r="D730" s="49" t="inlineStr">
        <is>
          <t>S&amp;P/TSX 60</t>
        </is>
      </c>
      <c r="E730" s="49" t="inlineStr">
        <is>
          <t>Energy</t>
        </is>
      </c>
      <c r="F730" s="50" t="n">
        <v>80538173440</v>
      </c>
      <c r="G730" s="49" t="inlineStr">
        <is>
          <t>nightly refresh</t>
        </is>
      </c>
      <c r="H730" s="48" t="n">
        <v>21</v>
      </c>
      <c r="I730" s="49" t="inlineStr">
        <is>
          <t>Yes</t>
        </is>
      </c>
      <c r="J730" s="49" t="inlineStr">
        <is>
          <t>2009-11-02</t>
        </is>
      </c>
      <c r="K730" s="48" t="n">
        <v>4219</v>
      </c>
      <c r="L730" s="49" t="inlineStr">
        <is>
          <t>2009-11-02</t>
        </is>
      </c>
      <c r="M730" s="49" t="inlineStr">
        <is>
          <t>2026-08-25</t>
        </is>
      </c>
      <c r="N730" s="48" t="n">
        <v>240</v>
      </c>
      <c r="O730" s="51" t="n">
        <v>-23.8373</v>
      </c>
      <c r="P730" s="51" t="n">
        <v>-83.8107</v>
      </c>
      <c r="Q730" s="51" t="n">
        <v>57.3439</v>
      </c>
      <c r="R730" s="51" t="n">
        <v>-6.835</v>
      </c>
      <c r="S730" s="52">
        <f>IF($I730="Yes",$O730,"")</f>
        <v/>
      </c>
    </row>
    <row r="731">
      <c r="A731" s="43" t="inlineStr">
        <is>
          <t>ENB.TO</t>
        </is>
      </c>
      <c r="B731" s="44" t="inlineStr">
        <is>
          <t>Enbridge Inc.</t>
        </is>
      </c>
      <c r="C731" s="44" t="inlineStr">
        <is>
          <t>CA</t>
        </is>
      </c>
      <c r="D731" s="44" t="inlineStr">
        <is>
          <t>S&amp;P/TSX 60</t>
        </is>
      </c>
      <c r="E731" s="44" t="inlineStr">
        <is>
          <t>Energy</t>
        </is>
      </c>
      <c r="F731" s="45" t="n">
        <v>152449171456</v>
      </c>
      <c r="G731" s="44" t="inlineStr">
        <is>
          <t>nightly refresh</t>
        </is>
      </c>
      <c r="H731" s="43" t="n">
        <v>6</v>
      </c>
      <c r="I731" s="44" t="inlineStr">
        <is>
          <t>Yes</t>
        </is>
      </c>
      <c r="J731" s="44" t="inlineStr">
        <is>
          <t>1995-01-12</t>
        </is>
      </c>
      <c r="K731" s="43" t="n">
        <v>6693</v>
      </c>
      <c r="L731" s="44" t="inlineStr">
        <is>
          <t>2000-01-04</t>
        </is>
      </c>
      <c r="M731" s="44" t="inlineStr">
        <is>
          <t>2026-08-25</t>
        </is>
      </c>
      <c r="N731" s="43" t="n">
        <v>285</v>
      </c>
      <c r="O731" s="46" t="n">
        <v>-11.7615</v>
      </c>
      <c r="P731" s="46" t="n">
        <v>-39.6715</v>
      </c>
      <c r="Q731" s="46" t="n">
        <v>31.1037</v>
      </c>
      <c r="R731" s="46" t="n">
        <v>-14.6559</v>
      </c>
      <c r="S731" s="47">
        <f>IF($I731="Yes",$O731,"")</f>
        <v/>
      </c>
    </row>
    <row r="732">
      <c r="A732" s="48" t="inlineStr">
        <is>
          <t>IMO.TO</t>
        </is>
      </c>
      <c r="B732" s="49" t="inlineStr">
        <is>
          <t>Imperial Oil Limited</t>
        </is>
      </c>
      <c r="C732" s="49" t="inlineStr">
        <is>
          <t>CA</t>
        </is>
      </c>
      <c r="D732" s="49" t="inlineStr">
        <is>
          <t>S&amp;P/TSX 60</t>
        </is>
      </c>
      <c r="E732" s="49" t="inlineStr">
        <is>
          <t>Energy</t>
        </is>
      </c>
      <c r="F732" s="50" t="n">
        <v>88154112000</v>
      </c>
      <c r="G732" s="49" t="inlineStr">
        <is>
          <t>nightly refresh</t>
        </is>
      </c>
      <c r="H732" s="48" t="n">
        <v>19</v>
      </c>
      <c r="I732" s="49" t="inlineStr">
        <is>
          <t>Yes</t>
        </is>
      </c>
      <c r="J732" s="49" t="inlineStr">
        <is>
          <t>1995-01-12</t>
        </is>
      </c>
      <c r="K732" s="48" t="n">
        <v>6693</v>
      </c>
      <c r="L732" s="49" t="inlineStr">
        <is>
          <t>2000-01-04</t>
        </is>
      </c>
      <c r="M732" s="49" t="inlineStr">
        <is>
          <t>2026-08-25</t>
        </is>
      </c>
      <c r="N732" s="48" t="n">
        <v>347</v>
      </c>
      <c r="O732" s="51" t="n">
        <v>-16.7797</v>
      </c>
      <c r="P732" s="51" t="n">
        <v>-71.70740000000001</v>
      </c>
      <c r="Q732" s="51" t="n">
        <v>43.1688</v>
      </c>
      <c r="R732" s="51" t="n">
        <v>-4.9053</v>
      </c>
      <c r="S732" s="52">
        <f>IF($I732="Yes",$O732,"")</f>
        <v/>
      </c>
    </row>
    <row r="733">
      <c r="A733" s="43" t="inlineStr">
        <is>
          <t>PPL.TO</t>
        </is>
      </c>
      <c r="B733" s="44" t="inlineStr">
        <is>
          <t>Pembina Pipeline Corporation</t>
        </is>
      </c>
      <c r="C733" s="44" t="inlineStr">
        <is>
          <t>CA</t>
        </is>
      </c>
      <c r="D733" s="44" t="inlineStr">
        <is>
          <t>S&amp;P/TSX 60</t>
        </is>
      </c>
      <c r="E733" s="44" t="inlineStr">
        <is>
          <t>Energy</t>
        </is>
      </c>
      <c r="F733" s="45" t="n">
        <v>39220072448</v>
      </c>
      <c r="G733" s="44" t="inlineStr">
        <is>
          <t>nightly refresh</t>
        </is>
      </c>
      <c r="H733" s="43" t="n">
        <v>42</v>
      </c>
      <c r="I733" s="44" t="inlineStr">
        <is>
          <t>Yes</t>
        </is>
      </c>
      <c r="J733" s="44" t="inlineStr">
        <is>
          <t>2003-10-09</t>
        </is>
      </c>
      <c r="K733" s="43" t="n">
        <v>5744</v>
      </c>
      <c r="L733" s="44" t="inlineStr">
        <is>
          <t>2003-10-09</t>
        </is>
      </c>
      <c r="M733" s="44" t="inlineStr">
        <is>
          <t>2026-08-25</t>
        </is>
      </c>
      <c r="N733" s="43" t="n">
        <v>234</v>
      </c>
      <c r="O733" s="46" t="n">
        <v>-14.8867</v>
      </c>
      <c r="P733" s="46" t="n">
        <v>-69.09139999999999</v>
      </c>
      <c r="Q733" s="46" t="n">
        <v>39.1501</v>
      </c>
      <c r="R733" s="46" t="n">
        <v>-8.457100000000001</v>
      </c>
      <c r="S733" s="47">
        <f>IF($I733="Yes",$O733,"")</f>
        <v/>
      </c>
    </row>
    <row r="734">
      <c r="A734" s="48" t="inlineStr">
        <is>
          <t>SU.TO</t>
        </is>
      </c>
      <c r="B734" s="49" t="inlineStr">
        <is>
          <t>Suncor Energy Inc.</t>
        </is>
      </c>
      <c r="C734" s="49" t="inlineStr">
        <is>
          <t>CA</t>
        </is>
      </c>
      <c r="D734" s="49" t="inlineStr">
        <is>
          <t>S&amp;P/TSX 60</t>
        </is>
      </c>
      <c r="E734" s="49" t="inlineStr">
        <is>
          <t>Energy</t>
        </is>
      </c>
      <c r="F734" s="50" t="n">
        <v>107601305600</v>
      </c>
      <c r="G734" s="49" t="inlineStr">
        <is>
          <t>nightly refresh</t>
        </is>
      </c>
      <c r="H734" s="48" t="n">
        <v>13</v>
      </c>
      <c r="I734" s="49" t="inlineStr">
        <is>
          <t>Yes</t>
        </is>
      </c>
      <c r="J734" s="49" t="inlineStr">
        <is>
          <t>1995-01-12</t>
        </is>
      </c>
      <c r="K734" s="48" t="n">
        <v>6693</v>
      </c>
      <c r="L734" s="49" t="inlineStr">
        <is>
          <t>2000-01-04</t>
        </is>
      </c>
      <c r="M734" s="49" t="inlineStr">
        <is>
          <t>2026-08-25</t>
        </is>
      </c>
      <c r="N734" s="48" t="n">
        <v>372</v>
      </c>
      <c r="O734" s="51" t="n">
        <v>-19.1614</v>
      </c>
      <c r="P734" s="51" t="n">
        <v>-74.20050000000001</v>
      </c>
      <c r="Q734" s="51" t="n">
        <v>46.358</v>
      </c>
      <c r="R734" s="51" t="n">
        <v>-5.636</v>
      </c>
      <c r="S734" s="52">
        <f>IF($I734="Yes",$O734,"")</f>
        <v/>
      </c>
    </row>
    <row r="735">
      <c r="A735" s="43" t="inlineStr">
        <is>
          <t>TOU.TO</t>
        </is>
      </c>
      <c r="B735" s="44" t="inlineStr">
        <is>
          <t>Tourmaline Oil Corp.</t>
        </is>
      </c>
      <c r="C735" s="44" t="inlineStr">
        <is>
          <t>CA</t>
        </is>
      </c>
      <c r="D735" s="44" t="inlineStr">
        <is>
          <t>S&amp;P/TSX 60</t>
        </is>
      </c>
      <c r="E735" s="44" t="inlineStr">
        <is>
          <t>Energy</t>
        </is>
      </c>
      <c r="F735" s="45" t="n">
        <v>24190455808</v>
      </c>
      <c r="G735" s="44" t="inlineStr">
        <is>
          <t>nightly refresh</t>
        </is>
      </c>
      <c r="H735" s="43" t="n">
        <v>49</v>
      </c>
      <c r="I735" s="44" t="inlineStr">
        <is>
          <t>Yes</t>
        </is>
      </c>
      <c r="J735" s="44" t="inlineStr">
        <is>
          <t>2010-11-23</t>
        </is>
      </c>
      <c r="K735" s="43" t="n">
        <v>3953</v>
      </c>
      <c r="L735" s="44" t="inlineStr">
        <is>
          <t>2010-11-23</t>
        </is>
      </c>
      <c r="M735" s="44" t="inlineStr">
        <is>
          <t>2026-08-25</t>
        </is>
      </c>
      <c r="N735" s="43" t="n">
        <v>228</v>
      </c>
      <c r="O735" s="46" t="n">
        <v>-22.3598</v>
      </c>
      <c r="P735" s="46" t="n">
        <v>-68.8091</v>
      </c>
      <c r="Q735" s="46" t="n">
        <v>59.2729</v>
      </c>
      <c r="R735" s="46" t="n">
        <v>-12.0004</v>
      </c>
      <c r="S735" s="47">
        <f>IF($I735="Yes",$O735,"")</f>
        <v/>
      </c>
    </row>
    <row r="736">
      <c r="A736" s="48" t="inlineStr">
        <is>
          <t>TRP.TO</t>
        </is>
      </c>
      <c r="B736" s="49" t="inlineStr">
        <is>
          <t>TC Energy Corporation</t>
        </is>
      </c>
      <c r="C736" s="49" t="inlineStr">
        <is>
          <t>CA</t>
        </is>
      </c>
      <c r="D736" s="49" t="inlineStr">
        <is>
          <t>S&amp;P/TSX 60</t>
        </is>
      </c>
      <c r="E736" s="49" t="inlineStr">
        <is>
          <t>Energy</t>
        </is>
      </c>
      <c r="F736" s="50" t="n">
        <v>90800406528</v>
      </c>
      <c r="G736" s="49" t="inlineStr">
        <is>
          <t>nightly refresh</t>
        </is>
      </c>
      <c r="H736" s="48" t="n">
        <v>18</v>
      </c>
      <c r="I736" s="49" t="inlineStr">
        <is>
          <t>Yes</t>
        </is>
      </c>
      <c r="J736" s="49" t="inlineStr">
        <is>
          <t>1995-01-12</t>
        </is>
      </c>
      <c r="K736" s="48" t="n">
        <v>6693</v>
      </c>
      <c r="L736" s="49" t="inlineStr">
        <is>
          <t>2000-01-04</t>
        </is>
      </c>
      <c r="M736" s="49" t="inlineStr">
        <is>
          <t>2026-08-25</t>
        </is>
      </c>
      <c r="N736" s="48" t="n">
        <v>245</v>
      </c>
      <c r="O736" s="51" t="n">
        <v>-12.8218</v>
      </c>
      <c r="P736" s="51" t="n">
        <v>-36.7328</v>
      </c>
      <c r="Q736" s="51" t="n">
        <v>29.9926</v>
      </c>
      <c r="R736" s="51" t="n">
        <v>-14.2141</v>
      </c>
      <c r="S736" s="52">
        <f>IF($I736="Yes",$O736,"")</f>
        <v/>
      </c>
    </row>
    <row r="737">
      <c r="A737" s="43" t="inlineStr">
        <is>
          <t>BAM.TO</t>
        </is>
      </c>
      <c r="B737" s="44" t="inlineStr">
        <is>
          <t>Brookfield Asset Management Ltd.</t>
        </is>
      </c>
      <c r="C737" s="44" t="inlineStr">
        <is>
          <t>CA</t>
        </is>
      </c>
      <c r="D737" s="44" t="inlineStr">
        <is>
          <t>S&amp;P/TSX 60</t>
        </is>
      </c>
      <c r="E737" s="44" t="inlineStr">
        <is>
          <t>Financial Services</t>
        </is>
      </c>
      <c r="F737" s="45" t="n">
        <v>115353509888</v>
      </c>
      <c r="G737" s="44" t="inlineStr">
        <is>
          <t>nightly refresh</t>
        </is>
      </c>
      <c r="H737" s="43" t="n">
        <v>12</v>
      </c>
      <c r="I737" s="44" t="inlineStr">
        <is>
          <t>Yes</t>
        </is>
      </c>
      <c r="J737" s="44" t="inlineStr">
        <is>
          <t>2022-12-01</t>
        </is>
      </c>
      <c r="K737" s="43" t="n">
        <v>936</v>
      </c>
      <c r="L737" s="44" t="inlineStr">
        <is>
          <t>2022-12-01</t>
        </is>
      </c>
      <c r="M737" s="44" t="inlineStr">
        <is>
          <t>2026-08-25</t>
        </is>
      </c>
      <c r="N737" s="43" t="n">
        <v>50</v>
      </c>
      <c r="O737" s="46" t="n">
        <v>-15.5448</v>
      </c>
      <c r="P737" s="46" t="n">
        <v>-31.7939</v>
      </c>
      <c r="Q737" s="46" t="n">
        <v>51.9577</v>
      </c>
      <c r="R737" s="46" t="n">
        <v>-13.5944</v>
      </c>
      <c r="S737" s="47">
        <f>IF($I737="Yes",$O737,"")</f>
        <v/>
      </c>
    </row>
    <row r="738">
      <c r="A738" s="48" t="inlineStr">
        <is>
          <t>BMO.TO</t>
        </is>
      </c>
      <c r="B738" s="49" t="inlineStr">
        <is>
          <t>Bank of Montreal</t>
        </is>
      </c>
      <c r="C738" s="49" t="inlineStr">
        <is>
          <t>CA</t>
        </is>
      </c>
      <c r="D738" s="49" t="inlineStr">
        <is>
          <t>S&amp;P/TSX 60</t>
        </is>
      </c>
      <c r="E738" s="49" t="inlineStr">
        <is>
          <t>Financial Services</t>
        </is>
      </c>
      <c r="F738" s="50" t="n">
        <v>167294222336</v>
      </c>
      <c r="G738" s="49" t="inlineStr">
        <is>
          <t>nightly refresh</t>
        </is>
      </c>
      <c r="H738" s="48" t="n">
        <v>4</v>
      </c>
      <c r="I738" s="49" t="inlineStr">
        <is>
          <t>Yes</t>
        </is>
      </c>
      <c r="J738" s="49" t="inlineStr">
        <is>
          <t>1995-01-12</t>
        </is>
      </c>
      <c r="K738" s="48" t="n">
        <v>6693</v>
      </c>
      <c r="L738" s="49" t="inlineStr">
        <is>
          <t>2000-01-04</t>
        </is>
      </c>
      <c r="M738" s="49" t="inlineStr">
        <is>
          <t>2026-08-25</t>
        </is>
      </c>
      <c r="N738" s="48" t="n">
        <v>252</v>
      </c>
      <c r="O738" s="51" t="n">
        <v>-13.9651</v>
      </c>
      <c r="P738" s="51" t="n">
        <v>-52.445</v>
      </c>
      <c r="Q738" s="51" t="n">
        <v>35.3879</v>
      </c>
      <c r="R738" s="51" t="n">
        <v>-7.4306</v>
      </c>
      <c r="S738" s="52">
        <f>IF($I738="Yes",$O738,"")</f>
        <v/>
      </c>
    </row>
    <row r="739">
      <c r="A739" s="43" t="inlineStr">
        <is>
          <t>BN.TO</t>
        </is>
      </c>
      <c r="B739" s="44" t="inlineStr">
        <is>
          <t>Brookfield Corporation</t>
        </is>
      </c>
      <c r="C739" s="44" t="inlineStr">
        <is>
          <t>CA</t>
        </is>
      </c>
      <c r="D739" s="44" t="inlineStr">
        <is>
          <t>S&amp;P/TSX 60</t>
        </is>
      </c>
      <c r="E739" s="44" t="inlineStr">
        <is>
          <t>Financial Services</t>
        </is>
      </c>
      <c r="F739" s="45" t="n">
        <v>129163862016</v>
      </c>
      <c r="G739" s="44" t="inlineStr">
        <is>
          <t>nightly refresh</t>
        </is>
      </c>
      <c r="H739" s="43" t="n">
        <v>10</v>
      </c>
      <c r="I739" s="44" t="inlineStr">
        <is>
          <t>Yes</t>
        </is>
      </c>
      <c r="J739" s="44" t="inlineStr">
        <is>
          <t>1995-01-12</t>
        </is>
      </c>
      <c r="K739" s="43" t="n">
        <v>6693</v>
      </c>
      <c r="L739" s="44" t="inlineStr">
        <is>
          <t>2000-01-04</t>
        </is>
      </c>
      <c r="M739" s="44" t="inlineStr">
        <is>
          <t>2026-08-25</t>
        </is>
      </c>
      <c r="N739" s="43" t="n">
        <v>284</v>
      </c>
      <c r="O739" s="46" t="n">
        <v>-15.8621</v>
      </c>
      <c r="P739" s="46" t="n">
        <v>-59.0427</v>
      </c>
      <c r="Q739" s="46" t="n">
        <v>42.127</v>
      </c>
      <c r="R739" s="46" t="n">
        <v>-14.7948</v>
      </c>
      <c r="S739" s="47">
        <f>IF($I739="Yes",$O739,"")</f>
        <v/>
      </c>
    </row>
    <row r="740">
      <c r="A740" s="48" t="inlineStr">
        <is>
          <t>BNS.TO</t>
        </is>
      </c>
      <c r="B740" s="49" t="inlineStr">
        <is>
          <t>The Bank of Nova Scotia</t>
        </is>
      </c>
      <c r="C740" s="49" t="inlineStr">
        <is>
          <t>CA</t>
        </is>
      </c>
      <c r="D740" s="49" t="inlineStr">
        <is>
          <t>S&amp;P/TSX 60</t>
        </is>
      </c>
      <c r="E740" s="49" t="inlineStr">
        <is>
          <t>Financial Services</t>
        </is>
      </c>
      <c r="F740" s="50" t="n">
        <v>158216306688</v>
      </c>
      <c r="G740" s="49" t="inlineStr">
        <is>
          <t>nightly refresh</t>
        </is>
      </c>
      <c r="H740" s="48" t="n">
        <v>5</v>
      </c>
      <c r="I740" s="49" t="inlineStr">
        <is>
          <t>Yes</t>
        </is>
      </c>
      <c r="J740" s="49" t="inlineStr">
        <is>
          <t>1995-01-12</t>
        </is>
      </c>
      <c r="K740" s="48" t="n">
        <v>6693</v>
      </c>
      <c r="L740" s="49" t="inlineStr">
        <is>
          <t>2000-01-04</t>
        </is>
      </c>
      <c r="M740" s="49" t="inlineStr">
        <is>
          <t>2026-08-25</t>
        </is>
      </c>
      <c r="N740" s="48" t="n">
        <v>259</v>
      </c>
      <c r="O740" s="51" t="n">
        <v>-13.4706</v>
      </c>
      <c r="P740" s="51" t="n">
        <v>-52.2513</v>
      </c>
      <c r="Q740" s="51" t="n">
        <v>31.3865</v>
      </c>
      <c r="R740" s="51" t="n">
        <v>-0.4023</v>
      </c>
      <c r="S740" s="52">
        <f>IF($I740="Yes",$O740,"")</f>
        <v/>
      </c>
    </row>
    <row r="741">
      <c r="A741" s="43" t="inlineStr">
        <is>
          <t>CM.TO</t>
        </is>
      </c>
      <c r="B741" s="44" t="inlineStr">
        <is>
          <t>Canadian Imperial Bank of Commerce</t>
        </is>
      </c>
      <c r="C741" s="44" t="inlineStr">
        <is>
          <t>CA</t>
        </is>
      </c>
      <c r="D741" s="44" t="inlineStr">
        <is>
          <t>S&amp;P/TSX 60</t>
        </is>
      </c>
      <c r="E741" s="44" t="inlineStr">
        <is>
          <t>Financial Services</t>
        </is>
      </c>
      <c r="F741" s="45" t="n">
        <v>149535014912</v>
      </c>
      <c r="G741" s="44" t="inlineStr">
        <is>
          <t>nightly refresh</t>
        </is>
      </c>
      <c r="H741" s="43" t="n">
        <v>8</v>
      </c>
      <c r="I741" s="44" t="inlineStr">
        <is>
          <t>Yes</t>
        </is>
      </c>
      <c r="J741" s="44" t="inlineStr">
        <is>
          <t>1995-01-12</t>
        </is>
      </c>
      <c r="K741" s="43" t="n">
        <v>6693</v>
      </c>
      <c r="L741" s="44" t="inlineStr">
        <is>
          <t>2000-01-04</t>
        </is>
      </c>
      <c r="M741" s="44" t="inlineStr">
        <is>
          <t>2026-08-25</t>
        </is>
      </c>
      <c r="N741" s="43" t="n">
        <v>278</v>
      </c>
      <c r="O741" s="46" t="n">
        <v>-15.0268</v>
      </c>
      <c r="P741" s="46" t="n">
        <v>-51.3742</v>
      </c>
      <c r="Q741" s="46" t="n">
        <v>35.6083</v>
      </c>
      <c r="R741" s="46" t="n">
        <v>-5.293</v>
      </c>
      <c r="S741" s="47">
        <f>IF($I741="Yes",$O741,"")</f>
        <v/>
      </c>
    </row>
    <row r="742">
      <c r="A742" s="48" t="inlineStr">
        <is>
          <t>FFH.TO</t>
        </is>
      </c>
      <c r="B742" s="49" t="inlineStr">
        <is>
          <t>Fairfax Financial Holdings Limited</t>
        </is>
      </c>
      <c r="C742" s="49" t="inlineStr">
        <is>
          <t>CA</t>
        </is>
      </c>
      <c r="D742" s="49" t="inlineStr">
        <is>
          <t>S&amp;P/TSX 60</t>
        </is>
      </c>
      <c r="E742" s="49" t="inlineStr">
        <is>
          <t>Financial Services</t>
        </is>
      </c>
      <c r="F742" s="50" t="n">
        <v>46491475968</v>
      </c>
      <c r="G742" s="49" t="inlineStr">
        <is>
          <t>nightly refresh</t>
        </is>
      </c>
      <c r="H742" s="48" t="n">
        <v>38</v>
      </c>
      <c r="I742" s="49" t="inlineStr">
        <is>
          <t>Yes</t>
        </is>
      </c>
      <c r="J742" s="49" t="inlineStr">
        <is>
          <t>1995-01-12</t>
        </is>
      </c>
      <c r="K742" s="48" t="n">
        <v>6693</v>
      </c>
      <c r="L742" s="49" t="inlineStr">
        <is>
          <t>2000-01-04</t>
        </is>
      </c>
      <c r="M742" s="49" t="inlineStr">
        <is>
          <t>2026-08-25</t>
        </is>
      </c>
      <c r="N742" s="48" t="n">
        <v>353</v>
      </c>
      <c r="O742" s="51" t="n">
        <v>-19.2255</v>
      </c>
      <c r="P742" s="51" t="n">
        <v>-62.6967</v>
      </c>
      <c r="Q742" s="51" t="n">
        <v>50.6578</v>
      </c>
      <c r="R742" s="51" t="n">
        <v>-14.8716</v>
      </c>
      <c r="S742" s="52">
        <f>IF($I742="Yes",$O742,"")</f>
        <v/>
      </c>
    </row>
    <row r="743">
      <c r="A743" s="43" t="inlineStr">
        <is>
          <t>IFC.TO</t>
        </is>
      </c>
      <c r="B743" s="44" t="inlineStr">
        <is>
          <t>Intact Financial Corporation</t>
        </is>
      </c>
      <c r="C743" s="44" t="inlineStr">
        <is>
          <t>CA</t>
        </is>
      </c>
      <c r="D743" s="44" t="inlineStr">
        <is>
          <t>S&amp;P/TSX 60</t>
        </is>
      </c>
      <c r="E743" s="44" t="inlineStr">
        <is>
          <t>Financial Services</t>
        </is>
      </c>
      <c r="F743" s="45" t="n">
        <v>46933581824</v>
      </c>
      <c r="G743" s="44" t="inlineStr">
        <is>
          <t>nightly refresh</t>
        </is>
      </c>
      <c r="H743" s="43" t="n">
        <v>37</v>
      </c>
      <c r="I743" s="44" t="inlineStr">
        <is>
          <t>Yes</t>
        </is>
      </c>
      <c r="J743" s="44" t="inlineStr">
        <is>
          <t>2004-12-10</t>
        </is>
      </c>
      <c r="K743" s="43" t="n">
        <v>5448</v>
      </c>
      <c r="L743" s="44" t="inlineStr">
        <is>
          <t>2004-12-10</t>
        </is>
      </c>
      <c r="M743" s="44" t="inlineStr">
        <is>
          <t>2026-08-25</t>
        </is>
      </c>
      <c r="N743" s="43" t="n">
        <v>219</v>
      </c>
      <c r="O743" s="46" t="n">
        <v>-12.5532</v>
      </c>
      <c r="P743" s="46" t="n">
        <v>-38.3597</v>
      </c>
      <c r="Q743" s="46" t="n">
        <v>28.9359</v>
      </c>
      <c r="R743" s="46" t="n">
        <v>-12.2316</v>
      </c>
      <c r="S743" s="47">
        <f>IF($I743="Yes",$O743,"")</f>
        <v/>
      </c>
    </row>
    <row r="744">
      <c r="A744" s="48" t="inlineStr">
        <is>
          <t>MFC.TO</t>
        </is>
      </c>
      <c r="B744" s="49" t="inlineStr">
        <is>
          <t>Manulife Financial Corporation</t>
        </is>
      </c>
      <c r="C744" s="49" t="inlineStr">
        <is>
          <t>CA</t>
        </is>
      </c>
      <c r="D744" s="49" t="inlineStr">
        <is>
          <t>S&amp;P/TSX 60</t>
        </is>
      </c>
      <c r="E744" s="49" t="inlineStr">
        <is>
          <t>Financial Services</t>
        </is>
      </c>
      <c r="F744" s="50" t="n">
        <v>99664248832</v>
      </c>
      <c r="G744" s="49" t="inlineStr">
        <is>
          <t>nightly refresh</t>
        </is>
      </c>
      <c r="H744" s="48" t="n">
        <v>16</v>
      </c>
      <c r="I744" s="49" t="inlineStr">
        <is>
          <t>Yes</t>
        </is>
      </c>
      <c r="J744" s="49" t="inlineStr">
        <is>
          <t>1999-09-30</t>
        </is>
      </c>
      <c r="K744" s="48" t="n">
        <v>6693</v>
      </c>
      <c r="L744" s="49" t="inlineStr">
        <is>
          <t>2000-01-04</t>
        </is>
      </c>
      <c r="M744" s="49" t="inlineStr">
        <is>
          <t>2026-08-25</t>
        </is>
      </c>
      <c r="N744" s="48" t="n">
        <v>317</v>
      </c>
      <c r="O744" s="51" t="n">
        <v>-17.5016</v>
      </c>
      <c r="P744" s="51" t="n">
        <v>-76.5629</v>
      </c>
      <c r="Q744" s="51" t="n">
        <v>43.5259</v>
      </c>
      <c r="R744" s="51" t="n">
        <v>-5.3036</v>
      </c>
      <c r="S744" s="52">
        <f>IF($I744="Yes",$O744,"")</f>
        <v/>
      </c>
    </row>
    <row r="745">
      <c r="A745" s="43" t="inlineStr">
        <is>
          <t>NA.TO</t>
        </is>
      </c>
      <c r="B745" s="44" t="inlineStr">
        <is>
          <t>National Bank of Canada</t>
        </is>
      </c>
      <c r="C745" s="44" t="inlineStr">
        <is>
          <t>CA</t>
        </is>
      </c>
      <c r="D745" s="44" t="inlineStr">
        <is>
          <t>S&amp;P/TSX 60</t>
        </is>
      </c>
      <c r="E745" s="44" t="inlineStr">
        <is>
          <t>Financial Services</t>
        </is>
      </c>
      <c r="F745" s="45" t="n">
        <v>82104696832</v>
      </c>
      <c r="G745" s="44" t="inlineStr">
        <is>
          <t>nightly refresh</t>
        </is>
      </c>
      <c r="H745" s="43" t="n">
        <v>20</v>
      </c>
      <c r="I745" s="44" t="inlineStr">
        <is>
          <t>Yes</t>
        </is>
      </c>
      <c r="J745" s="44" t="inlineStr">
        <is>
          <t>1995-01-12</t>
        </is>
      </c>
      <c r="K745" s="43" t="n">
        <v>6693</v>
      </c>
      <c r="L745" s="44" t="inlineStr">
        <is>
          <t>2000-01-04</t>
        </is>
      </c>
      <c r="M745" s="44" t="inlineStr">
        <is>
          <t>2026-08-25</t>
        </is>
      </c>
      <c r="N745" s="43" t="n">
        <v>249</v>
      </c>
      <c r="O745" s="46" t="n">
        <v>-12.8522</v>
      </c>
      <c r="P745" s="46" t="n">
        <v>-52.6263</v>
      </c>
      <c r="Q745" s="46" t="n">
        <v>40.3002</v>
      </c>
      <c r="R745" s="46" t="n">
        <v>-6.157</v>
      </c>
      <c r="S745" s="47">
        <f>IF($I745="Yes",$O745,"")</f>
        <v/>
      </c>
    </row>
    <row r="746">
      <c r="A746" s="48" t="inlineStr">
        <is>
          <t>POW.TO</t>
        </is>
      </c>
      <c r="B746" s="49" t="inlineStr">
        <is>
          <t>Power Corporation of Canada</t>
        </is>
      </c>
      <c r="C746" s="49" t="inlineStr">
        <is>
          <t>CA</t>
        </is>
      </c>
      <c r="D746" s="49" t="inlineStr">
        <is>
          <t>S&amp;P/TSX 60</t>
        </is>
      </c>
      <c r="E746" s="49" t="inlineStr">
        <is>
          <t>Financial Services</t>
        </is>
      </c>
      <c r="F746" s="50" t="n">
        <v>57725829120</v>
      </c>
      <c r="G746" s="49" t="inlineStr">
        <is>
          <t>nightly refresh</t>
        </is>
      </c>
      <c r="H746" s="48" t="n">
        <v>30</v>
      </c>
      <c r="I746" s="49" t="inlineStr">
        <is>
          <t>Yes</t>
        </is>
      </c>
      <c r="J746" s="49" t="inlineStr">
        <is>
          <t>1995-01-12</t>
        </is>
      </c>
      <c r="K746" s="48" t="n">
        <v>6693</v>
      </c>
      <c r="L746" s="49" t="inlineStr">
        <is>
          <t>2000-01-04</t>
        </is>
      </c>
      <c r="M746" s="49" t="inlineStr">
        <is>
          <t>2026-08-25</t>
        </is>
      </c>
      <c r="N746" s="48" t="n">
        <v>299</v>
      </c>
      <c r="O746" s="51" t="n">
        <v>-14.5641</v>
      </c>
      <c r="P746" s="51" t="n">
        <v>-57.466</v>
      </c>
      <c r="Q746" s="51" t="n">
        <v>34.3811</v>
      </c>
      <c r="R746" s="51" t="n">
        <v>-6.154</v>
      </c>
      <c r="S746" s="52">
        <f>IF($I746="Yes",$O746,"")</f>
        <v/>
      </c>
    </row>
    <row r="747">
      <c r="A747" s="43" t="inlineStr">
        <is>
          <t>RY.TO</t>
        </is>
      </c>
      <c r="B747" s="44" t="inlineStr">
        <is>
          <t>Royal Bank of Canada</t>
        </is>
      </c>
      <c r="C747" s="44" t="inlineStr">
        <is>
          <t>CA</t>
        </is>
      </c>
      <c r="D747" s="44" t="inlineStr">
        <is>
          <t>S&amp;P/TSX 60</t>
        </is>
      </c>
      <c r="E747" s="44" t="inlineStr">
        <is>
          <t>Financial Services</t>
        </is>
      </c>
      <c r="F747" s="45" t="n">
        <v>400375611392</v>
      </c>
      <c r="G747" s="44" t="inlineStr">
        <is>
          <t>nightly refresh</t>
        </is>
      </c>
      <c r="H747" s="43" t="n">
        <v>1</v>
      </c>
      <c r="I747" s="44" t="inlineStr">
        <is>
          <t>Yes</t>
        </is>
      </c>
      <c r="J747" s="44" t="inlineStr">
        <is>
          <t>1995-01-12</t>
        </is>
      </c>
      <c r="K747" s="43" t="n">
        <v>6693</v>
      </c>
      <c r="L747" s="44" t="inlineStr">
        <is>
          <t>2000-01-04</t>
        </is>
      </c>
      <c r="M747" s="44" t="inlineStr">
        <is>
          <t>2026-08-25</t>
        </is>
      </c>
      <c r="N747" s="43" t="n">
        <v>245</v>
      </c>
      <c r="O747" s="46" t="n">
        <v>-12.4699</v>
      </c>
      <c r="P747" s="46" t="n">
        <v>-48.5195</v>
      </c>
      <c r="Q747" s="46" t="n">
        <v>33.7237</v>
      </c>
      <c r="R747" s="46" t="n">
        <v>-5.8848</v>
      </c>
      <c r="S747" s="47">
        <f>IF($I747="Yes",$O747,"")</f>
        <v/>
      </c>
    </row>
    <row r="748">
      <c r="A748" s="48" t="inlineStr">
        <is>
          <t>SLF.TO</t>
        </is>
      </c>
      <c r="B748" s="49" t="inlineStr">
        <is>
          <t>Sun Life Financial Inc.</t>
        </is>
      </c>
      <c r="C748" s="49" t="inlineStr">
        <is>
          <t>CA</t>
        </is>
      </c>
      <c r="D748" s="49" t="inlineStr">
        <is>
          <t>S&amp;P/TSX 60</t>
        </is>
      </c>
      <c r="E748" s="49" t="inlineStr">
        <is>
          <t>Financial Services</t>
        </is>
      </c>
      <c r="F748" s="50" t="n">
        <v>61043752960</v>
      </c>
      <c r="G748" s="49" t="inlineStr">
        <is>
          <t>nightly refresh</t>
        </is>
      </c>
      <c r="H748" s="48" t="n">
        <v>28</v>
      </c>
      <c r="I748" s="49" t="inlineStr">
        <is>
          <t>Yes</t>
        </is>
      </c>
      <c r="J748" s="49" t="inlineStr">
        <is>
          <t>2000-03-23</t>
        </is>
      </c>
      <c r="K748" s="48" t="n">
        <v>6636</v>
      </c>
      <c r="L748" s="49" t="inlineStr">
        <is>
          <t>2000-03-23</t>
        </is>
      </c>
      <c r="M748" s="49" t="inlineStr">
        <is>
          <t>2026-08-25</t>
        </is>
      </c>
      <c r="N748" s="48" t="n">
        <v>302</v>
      </c>
      <c r="O748" s="51" t="n">
        <v>-15.6394</v>
      </c>
      <c r="P748" s="51" t="n">
        <v>-69.0241</v>
      </c>
      <c r="Q748" s="51" t="n">
        <v>38.7247</v>
      </c>
      <c r="R748" s="51" t="n">
        <v>-7.051</v>
      </c>
      <c r="S748" s="52">
        <f>IF($I748="Yes",$O748,"")</f>
        <v/>
      </c>
    </row>
    <row r="749">
      <c r="A749" s="43" t="inlineStr">
        <is>
          <t>TD.TO</t>
        </is>
      </c>
      <c r="B749" s="44" t="inlineStr">
        <is>
          <t>The Toronto-Dominion Bank</t>
        </is>
      </c>
      <c r="C749" s="44" t="inlineStr">
        <is>
          <t>CA</t>
        </is>
      </c>
      <c r="D749" s="44" t="inlineStr">
        <is>
          <t>S&amp;P/TSX 60</t>
        </is>
      </c>
      <c r="E749" s="44" t="inlineStr">
        <is>
          <t>Financial Services</t>
        </is>
      </c>
      <c r="F749" s="45" t="n">
        <v>274025676800</v>
      </c>
      <c r="G749" s="44" t="inlineStr">
        <is>
          <t>nightly refresh</t>
        </is>
      </c>
      <c r="H749" s="43" t="n">
        <v>2</v>
      </c>
      <c r="I749" s="44" t="inlineStr">
        <is>
          <t>Yes</t>
        </is>
      </c>
      <c r="J749" s="44" t="inlineStr">
        <is>
          <t>1995-01-12</t>
        </is>
      </c>
      <c r="K749" s="43" t="n">
        <v>6693</v>
      </c>
      <c r="L749" s="44" t="inlineStr">
        <is>
          <t>2000-01-04</t>
        </is>
      </c>
      <c r="M749" s="44" t="inlineStr">
        <is>
          <t>2026-08-25</t>
        </is>
      </c>
      <c r="N749" s="43" t="n">
        <v>254</v>
      </c>
      <c r="O749" s="46" t="n">
        <v>-14.1183</v>
      </c>
      <c r="P749" s="46" t="n">
        <v>-52.9833</v>
      </c>
      <c r="Q749" s="46" t="n">
        <v>31.3346</v>
      </c>
      <c r="R749" s="46" t="n">
        <v>-6.0343</v>
      </c>
      <c r="S749" s="47">
        <f>IF($I749="Yes",$O749,"")</f>
        <v/>
      </c>
    </row>
    <row r="750">
      <c r="A750" s="48" t="inlineStr">
        <is>
          <t>CAE.TO</t>
        </is>
      </c>
      <c r="B750" s="49" t="inlineStr">
        <is>
          <t>CAE Inc.</t>
        </is>
      </c>
      <c r="C750" s="49" t="inlineStr">
        <is>
          <t>CA</t>
        </is>
      </c>
      <c r="D750" s="49" t="inlineStr">
        <is>
          <t>S&amp;P/TSX 60</t>
        </is>
      </c>
      <c r="E750" s="49" t="inlineStr">
        <is>
          <t>Industrials</t>
        </is>
      </c>
      <c r="F750" s="50" t="n">
        <v>11280809984</v>
      </c>
      <c r="G750" s="49" t="inlineStr">
        <is>
          <t>nightly refresh</t>
        </is>
      </c>
      <c r="H750" s="48" t="n">
        <v>57</v>
      </c>
      <c r="I750" s="49" t="inlineStr">
        <is>
          <t>Yes</t>
        </is>
      </c>
      <c r="J750" s="49" t="inlineStr">
        <is>
          <t>1995-01-12</t>
        </is>
      </c>
      <c r="K750" s="48" t="n">
        <v>6693</v>
      </c>
      <c r="L750" s="49" t="inlineStr">
        <is>
          <t>2000-01-04</t>
        </is>
      </c>
      <c r="M750" s="49" t="inlineStr">
        <is>
          <t>2026-08-25</t>
        </is>
      </c>
      <c r="N750" s="48" t="n">
        <v>339</v>
      </c>
      <c r="O750" s="51" t="n">
        <v>-19.7547</v>
      </c>
      <c r="P750" s="51" t="n">
        <v>-79.9025</v>
      </c>
      <c r="Q750" s="51" t="n">
        <v>47.1814</v>
      </c>
      <c r="R750" s="51" t="n">
        <v>-27.3662</v>
      </c>
      <c r="S750" s="52">
        <f>IF($I750="Yes",$O750,"")</f>
        <v/>
      </c>
    </row>
    <row r="751">
      <c r="A751" s="43" t="inlineStr">
        <is>
          <t>CNR.TO</t>
        </is>
      </c>
      <c r="B751" s="44" t="inlineStr">
        <is>
          <t>Canadian National Railway Company</t>
        </is>
      </c>
      <c r="C751" s="44" t="inlineStr">
        <is>
          <t>CA</t>
        </is>
      </c>
      <c r="D751" s="44" t="inlineStr">
        <is>
          <t>S&amp;P/TSX 60</t>
        </is>
      </c>
      <c r="E751" s="44" t="inlineStr">
        <is>
          <t>Industrials</t>
        </is>
      </c>
      <c r="F751" s="45" t="n">
        <v>107049148416</v>
      </c>
      <c r="G751" s="44" t="inlineStr">
        <is>
          <t>nightly refresh</t>
        </is>
      </c>
      <c r="H751" s="43" t="n">
        <v>15</v>
      </c>
      <c r="I751" s="44" t="inlineStr">
        <is>
          <t>Yes</t>
        </is>
      </c>
      <c r="J751" s="44" t="inlineStr">
        <is>
          <t>1996-11-22</t>
        </is>
      </c>
      <c r="K751" s="43" t="n">
        <v>6693</v>
      </c>
      <c r="L751" s="44" t="inlineStr">
        <is>
          <t>2000-01-04</t>
        </is>
      </c>
      <c r="M751" s="44" t="inlineStr">
        <is>
          <t>2026-08-25</t>
        </is>
      </c>
      <c r="N751" s="43" t="n">
        <v>306</v>
      </c>
      <c r="O751" s="46" t="n">
        <v>-12.3696</v>
      </c>
      <c r="P751" s="46" t="n">
        <v>-32.9319</v>
      </c>
      <c r="Q751" s="46" t="n">
        <v>33.0895</v>
      </c>
      <c r="R751" s="46" t="n">
        <v>-5.1174</v>
      </c>
      <c r="S751" s="47">
        <f>IF($I751="Yes",$O751,"")</f>
        <v/>
      </c>
    </row>
    <row r="752">
      <c r="A752" s="48" t="inlineStr">
        <is>
          <t>CP.TO</t>
        </is>
      </c>
      <c r="B752" s="49" t="inlineStr">
        <is>
          <t>Canadian Pacific Kansas City Limited</t>
        </is>
      </c>
      <c r="C752" s="49" t="inlineStr">
        <is>
          <t>CA</t>
        </is>
      </c>
      <c r="D752" s="49" t="inlineStr">
        <is>
          <t>S&amp;P/TSX 60</t>
        </is>
      </c>
      <c r="E752" s="49" t="inlineStr">
        <is>
          <t>Industrials</t>
        </is>
      </c>
      <c r="F752" s="50" t="n">
        <v>115511009280</v>
      </c>
      <c r="G752" s="49" t="inlineStr">
        <is>
          <t>nightly refresh</t>
        </is>
      </c>
      <c r="H752" s="48" t="n">
        <v>11</v>
      </c>
      <c r="I752" s="49" t="inlineStr">
        <is>
          <t>Yes</t>
        </is>
      </c>
      <c r="J752" s="49" t="inlineStr">
        <is>
          <t>2001-08-23</t>
        </is>
      </c>
      <c r="K752" s="48" t="n">
        <v>6279</v>
      </c>
      <c r="L752" s="49" t="inlineStr">
        <is>
          <t>2001-08-23</t>
        </is>
      </c>
      <c r="M752" s="49" t="inlineStr">
        <is>
          <t>2026-08-25</t>
        </is>
      </c>
      <c r="N752" s="48" t="n">
        <v>320</v>
      </c>
      <c r="O752" s="51" t="n">
        <v>-15.2571</v>
      </c>
      <c r="P752" s="51" t="n">
        <v>-55.3801</v>
      </c>
      <c r="Q752" s="51" t="n">
        <v>39.1996</v>
      </c>
      <c r="R752" s="51" t="n">
        <v>-2.1368</v>
      </c>
      <c r="S752" s="52">
        <f>IF($I752="Yes",$O752,"")</f>
        <v/>
      </c>
    </row>
    <row r="753">
      <c r="A753" s="43" t="inlineStr">
        <is>
          <t>TRI.TO</t>
        </is>
      </c>
      <c r="B753" s="44" t="inlineStr">
        <is>
          <t>Thomson Reuters Corporation</t>
        </is>
      </c>
      <c r="C753" s="44" t="inlineStr">
        <is>
          <t>CA</t>
        </is>
      </c>
      <c r="D753" s="44" t="inlineStr">
        <is>
          <t>S&amp;P/TSX 60</t>
        </is>
      </c>
      <c r="E753" s="44" t="inlineStr">
        <is>
          <t>Industrials</t>
        </is>
      </c>
      <c r="F753" s="45" t="n">
        <v>61578539008</v>
      </c>
      <c r="G753" s="44" t="inlineStr">
        <is>
          <t>nightly refresh</t>
        </is>
      </c>
      <c r="H753" s="43" t="n">
        <v>27</v>
      </c>
      <c r="I753" s="44" t="inlineStr">
        <is>
          <t>Yes</t>
        </is>
      </c>
      <c r="J753" s="44" t="inlineStr">
        <is>
          <t>2008-06-04</t>
        </is>
      </c>
      <c r="K753" s="43" t="n">
        <v>4573</v>
      </c>
      <c r="L753" s="44" t="inlineStr">
        <is>
          <t>2008-06-04</t>
        </is>
      </c>
      <c r="M753" s="44" t="inlineStr">
        <is>
          <t>2026-08-25</t>
        </is>
      </c>
      <c r="N753" s="43" t="n">
        <v>205</v>
      </c>
      <c r="O753" s="46" t="n">
        <v>-15.1934</v>
      </c>
      <c r="P753" s="46" t="n">
        <v>-62.5734</v>
      </c>
      <c r="Q753" s="46" t="n">
        <v>32.9011</v>
      </c>
      <c r="R753" s="46" t="n">
        <v>-39.9027</v>
      </c>
      <c r="S753" s="47">
        <f>IF($I753="Yes",$O753,"")</f>
        <v/>
      </c>
    </row>
    <row r="754">
      <c r="A754" s="48" t="inlineStr">
        <is>
          <t>WCN.TO</t>
        </is>
      </c>
      <c r="B754" s="49" t="inlineStr">
        <is>
          <t>Waste Connections, Inc.</t>
        </is>
      </c>
      <c r="C754" s="49" t="inlineStr">
        <is>
          <t>CA</t>
        </is>
      </c>
      <c r="D754" s="49" t="inlineStr">
        <is>
          <t>S&amp;P/TSX 60</t>
        </is>
      </c>
      <c r="E754" s="49" t="inlineStr">
        <is>
          <t>Industrials</t>
        </is>
      </c>
      <c r="F754" s="50" t="n">
        <v>58381676544</v>
      </c>
      <c r="G754" s="49" t="inlineStr">
        <is>
          <t>nightly refresh</t>
        </is>
      </c>
      <c r="H754" s="48" t="n">
        <v>29</v>
      </c>
      <c r="I754" s="49" t="inlineStr">
        <is>
          <t>Yes</t>
        </is>
      </c>
      <c r="J754" s="49" t="inlineStr">
        <is>
          <t>2002-04-25</t>
        </is>
      </c>
      <c r="K754" s="48" t="n">
        <v>6111</v>
      </c>
      <c r="L754" s="49" t="inlineStr">
        <is>
          <t>2002-04-25</t>
        </is>
      </c>
      <c r="M754" s="49" t="inlineStr">
        <is>
          <t>2026-08-25</t>
        </is>
      </c>
      <c r="N754" s="48" t="n">
        <v>253</v>
      </c>
      <c r="O754" s="51" t="n">
        <v>-13.0906</v>
      </c>
      <c r="P754" s="51" t="n">
        <v>-68.65130000000001</v>
      </c>
      <c r="Q754" s="51" t="n">
        <v>39.597</v>
      </c>
      <c r="R754" s="51" t="n">
        <v>-9.457800000000001</v>
      </c>
      <c r="S754" s="52">
        <f>IF($I754="Yes",$O754,"")</f>
        <v/>
      </c>
    </row>
    <row r="755">
      <c r="A755" s="43" t="inlineStr">
        <is>
          <t>WSP.TO</t>
        </is>
      </c>
      <c r="B755" s="44" t="inlineStr">
        <is>
          <t>WSP Global Inc.</t>
        </is>
      </c>
      <c r="C755" s="44" t="inlineStr">
        <is>
          <t>CA</t>
        </is>
      </c>
      <c r="D755" s="44" t="inlineStr">
        <is>
          <t>S&amp;P/TSX 60</t>
        </is>
      </c>
      <c r="E755" s="44" t="inlineStr">
        <is>
          <t>Industrials</t>
        </is>
      </c>
      <c r="F755" s="45" t="n">
        <v>25718970368</v>
      </c>
      <c r="G755" s="44" t="inlineStr">
        <is>
          <t>nightly refresh</t>
        </is>
      </c>
      <c r="H755" s="43" t="n">
        <v>47</v>
      </c>
      <c r="I755" s="44" t="inlineStr">
        <is>
          <t>Yes</t>
        </is>
      </c>
      <c r="J755" s="44" t="inlineStr">
        <is>
          <t>2014-01-07</t>
        </is>
      </c>
      <c r="K755" s="43" t="n">
        <v>3171</v>
      </c>
      <c r="L755" s="44" t="inlineStr">
        <is>
          <t>2014-01-07</t>
        </is>
      </c>
      <c r="M755" s="44" t="inlineStr">
        <is>
          <t>2026-08-25</t>
        </is>
      </c>
      <c r="N755" s="43" t="n">
        <v>140</v>
      </c>
      <c r="O755" s="46" t="n">
        <v>-13.3053</v>
      </c>
      <c r="P755" s="46" t="n">
        <v>-44.6418</v>
      </c>
      <c r="Q755" s="46" t="n">
        <v>39.4124</v>
      </c>
      <c r="R755" s="46" t="n">
        <v>-34.749</v>
      </c>
      <c r="S755" s="47">
        <f>IF($I755="Yes",$O755,"")</f>
        <v/>
      </c>
    </row>
    <row r="756">
      <c r="A756" s="48" t="inlineStr">
        <is>
          <t>FSV.TO</t>
        </is>
      </c>
      <c r="B756" s="49" t="inlineStr">
        <is>
          <t>FirstService Corporation</t>
        </is>
      </c>
      <c r="C756" s="49" t="inlineStr">
        <is>
          <t>CA</t>
        </is>
      </c>
      <c r="D756" s="49" t="inlineStr">
        <is>
          <t>S&amp;P/TSX 60</t>
        </is>
      </c>
      <c r="E756" s="49" t="inlineStr">
        <is>
          <t>Real Estate</t>
        </is>
      </c>
      <c r="F756" s="50" t="n">
        <v>8704695296</v>
      </c>
      <c r="G756" s="49" t="inlineStr">
        <is>
          <t>nightly refresh</t>
        </is>
      </c>
      <c r="H756" s="48" t="n">
        <v>59</v>
      </c>
      <c r="I756" s="49" t="inlineStr">
        <is>
          <t>Yes</t>
        </is>
      </c>
      <c r="J756" s="49" t="inlineStr">
        <is>
          <t>2015-05-27</t>
        </is>
      </c>
      <c r="K756" s="48" t="n">
        <v>2823</v>
      </c>
      <c r="L756" s="49" t="inlineStr">
        <is>
          <t>2015-05-27</t>
        </is>
      </c>
      <c r="M756" s="49" t="inlineStr">
        <is>
          <t>2026-08-25</t>
        </is>
      </c>
      <c r="N756" s="48" t="n">
        <v>144</v>
      </c>
      <c r="O756" s="51" t="n">
        <v>-16.1249</v>
      </c>
      <c r="P756" s="51" t="n">
        <v>-43.3097</v>
      </c>
      <c r="Q756" s="51" t="n">
        <v>57.9249</v>
      </c>
      <c r="R756" s="51" t="n">
        <v>-31.1049</v>
      </c>
      <c r="S756" s="52">
        <f>IF($I756="Yes",$O756,"")</f>
        <v/>
      </c>
    </row>
    <row r="757">
      <c r="A757" s="43" t="inlineStr">
        <is>
          <t>CLS.TO</t>
        </is>
      </c>
      <c r="B757" s="44" t="inlineStr">
        <is>
          <t>Celestica Inc.</t>
        </is>
      </c>
      <c r="C757" s="44" t="inlineStr">
        <is>
          <t>CA</t>
        </is>
      </c>
      <c r="D757" s="44" t="inlineStr">
        <is>
          <t>S&amp;P/TSX 60</t>
        </is>
      </c>
      <c r="E757" s="44" t="inlineStr">
        <is>
          <t>Technology</t>
        </is>
      </c>
      <c r="F757" s="45" t="n">
        <v>53743513600</v>
      </c>
      <c r="G757" s="44" t="inlineStr">
        <is>
          <t>nightly refresh</t>
        </is>
      </c>
      <c r="H757" s="43" t="n">
        <v>31</v>
      </c>
      <c r="I757" s="44" t="inlineStr">
        <is>
          <t>Yes</t>
        </is>
      </c>
      <c r="J757" s="44" t="inlineStr">
        <is>
          <t>1998-07-09</t>
        </is>
      </c>
      <c r="K757" s="43" t="n">
        <v>6693</v>
      </c>
      <c r="L757" s="44" t="inlineStr">
        <is>
          <t>2000-01-04</t>
        </is>
      </c>
      <c r="M757" s="44" t="inlineStr">
        <is>
          <t>2026-08-25</t>
        </is>
      </c>
      <c r="N757" s="43" t="n">
        <v>374</v>
      </c>
      <c r="O757" s="46" t="n">
        <v>-28.4721</v>
      </c>
      <c r="P757" s="46" t="n">
        <v>-79.08499999999999</v>
      </c>
      <c r="Q757" s="46" t="n">
        <v>85.3485</v>
      </c>
      <c r="R757" s="46" t="n">
        <v>-35.3821</v>
      </c>
      <c r="S757" s="47">
        <f>IF($I757="Yes",$O757,"")</f>
        <v/>
      </c>
    </row>
    <row r="758">
      <c r="A758" s="48" t="inlineStr">
        <is>
          <t>CSU.TO</t>
        </is>
      </c>
      <c r="B758" s="49" t="inlineStr">
        <is>
          <t>Constellation Software Inc.</t>
        </is>
      </c>
      <c r="C758" s="49" t="inlineStr">
        <is>
          <t>CA</t>
        </is>
      </c>
      <c r="D758" s="49" t="inlineStr">
        <is>
          <t>S&amp;P/TSX 60</t>
        </is>
      </c>
      <c r="E758" s="49" t="inlineStr">
        <is>
          <t>Technology</t>
        </is>
      </c>
      <c r="F758" s="50" t="n">
        <v>65058631680</v>
      </c>
      <c r="G758" s="49" t="inlineStr">
        <is>
          <t>nightly refresh</t>
        </is>
      </c>
      <c r="H758" s="48" t="n">
        <v>25</v>
      </c>
      <c r="I758" s="49" t="inlineStr">
        <is>
          <t>Yes</t>
        </is>
      </c>
      <c r="J758" s="49" t="inlineStr">
        <is>
          <t>2007-10-25</t>
        </is>
      </c>
      <c r="K758" s="48" t="n">
        <v>4726</v>
      </c>
      <c r="L758" s="49" t="inlineStr">
        <is>
          <t>2007-10-25</t>
        </is>
      </c>
      <c r="M758" s="49" t="inlineStr">
        <is>
          <t>2026-08-25</t>
        </is>
      </c>
      <c r="N758" s="48" t="n">
        <v>198</v>
      </c>
      <c r="O758" s="51" t="n">
        <v>-13.9749</v>
      </c>
      <c r="P758" s="51" t="n">
        <v>-57.3495</v>
      </c>
      <c r="Q758" s="51" t="n">
        <v>56.137</v>
      </c>
      <c r="R758" s="51" t="n">
        <v>-33.4561</v>
      </c>
      <c r="S758" s="52">
        <f>IF($I758="Yes",$O758,"")</f>
        <v/>
      </c>
    </row>
    <row r="759">
      <c r="A759" s="43" t="inlineStr">
        <is>
          <t>GIB-A.TO</t>
        </is>
      </c>
      <c r="B759" s="44" t="inlineStr">
        <is>
          <t>CGI Inc.</t>
        </is>
      </c>
      <c r="C759" s="44" t="inlineStr">
        <is>
          <t>CA</t>
        </is>
      </c>
      <c r="D759" s="44" t="inlineStr">
        <is>
          <t>S&amp;P/TSX 60</t>
        </is>
      </c>
      <c r="E759" s="44" t="inlineStr">
        <is>
          <t>Technology</t>
        </is>
      </c>
      <c r="F759" s="45" t="n">
        <v>21028507648</v>
      </c>
      <c r="G759" s="44" t="inlineStr">
        <is>
          <t>nightly refresh</t>
        </is>
      </c>
      <c r="H759" s="43" t="n">
        <v>52</v>
      </c>
      <c r="I759" s="44" t="inlineStr">
        <is>
          <t>Yes</t>
        </is>
      </c>
      <c r="J759" s="44" t="inlineStr">
        <is>
          <t>1996-08-13</t>
        </is>
      </c>
      <c r="K759" s="43" t="n">
        <v>6693</v>
      </c>
      <c r="L759" s="44" t="inlineStr">
        <is>
          <t>2000-01-04</t>
        </is>
      </c>
      <c r="M759" s="44" t="inlineStr">
        <is>
          <t>2026-08-25</t>
        </is>
      </c>
      <c r="N759" s="43" t="n">
        <v>329</v>
      </c>
      <c r="O759" s="46" t="n">
        <v>-20.2313</v>
      </c>
      <c r="P759" s="46" t="n">
        <v>-83.33329999999999</v>
      </c>
      <c r="Q759" s="46" t="n">
        <v>36.8157</v>
      </c>
      <c r="R759" s="46" t="n">
        <v>-23.2332</v>
      </c>
      <c r="S759" s="47">
        <f>IF($I759="Yes",$O759,"")</f>
        <v/>
      </c>
    </row>
    <row r="760">
      <c r="A760" s="48" t="inlineStr">
        <is>
          <t>OTEX.TO</t>
        </is>
      </c>
      <c r="B760" s="49" t="inlineStr">
        <is>
          <t>Open Text Corporation</t>
        </is>
      </c>
      <c r="C760" s="49" t="inlineStr">
        <is>
          <t>CA</t>
        </is>
      </c>
      <c r="D760" s="49" t="inlineStr">
        <is>
          <t>S&amp;P/TSX 60</t>
        </is>
      </c>
      <c r="E760" s="49" t="inlineStr">
        <is>
          <t>Technology</t>
        </is>
      </c>
      <c r="F760" s="50" t="n">
        <v>8197134336</v>
      </c>
      <c r="G760" s="49" t="inlineStr">
        <is>
          <t>nightly refresh</t>
        </is>
      </c>
      <c r="H760" s="48" t="n">
        <v>60</v>
      </c>
      <c r="I760" s="49" t="inlineStr">
        <is>
          <t>Yes</t>
        </is>
      </c>
      <c r="J760" s="49" t="inlineStr">
        <is>
          <t>1998-06-29</t>
        </is>
      </c>
      <c r="K760" s="48" t="n">
        <v>6693</v>
      </c>
      <c r="L760" s="49" t="inlineStr">
        <is>
          <t>2000-01-04</t>
        </is>
      </c>
      <c r="M760" s="49" t="inlineStr">
        <is>
          <t>2026-08-25</t>
        </is>
      </c>
      <c r="N760" s="48" t="n">
        <v>361</v>
      </c>
      <c r="O760" s="51" t="n">
        <v>-22.9672</v>
      </c>
      <c r="P760" s="51" t="n">
        <v>-69.88639999999999</v>
      </c>
      <c r="Q760" s="51" t="n">
        <v>45.4752</v>
      </c>
      <c r="R760" s="51" t="n">
        <v>-37.9891</v>
      </c>
      <c r="S760" s="52">
        <f>IF($I760="Yes",$O760,"")</f>
        <v/>
      </c>
    </row>
    <row r="761">
      <c r="A761" s="43" t="inlineStr">
        <is>
          <t>SHOP.TO</t>
        </is>
      </c>
      <c r="B761" s="44" t="inlineStr">
        <is>
          <t>Shopify Inc.</t>
        </is>
      </c>
      <c r="C761" s="44" t="inlineStr">
        <is>
          <t>CA</t>
        </is>
      </c>
      <c r="D761" s="44" t="inlineStr">
        <is>
          <t>S&amp;P/TSX 60</t>
        </is>
      </c>
      <c r="E761" s="44" t="inlineStr">
        <is>
          <t>Technology</t>
        </is>
      </c>
      <c r="F761" s="45" t="n">
        <v>270561001472</v>
      </c>
      <c r="G761" s="44" t="inlineStr">
        <is>
          <t>nightly refresh</t>
        </is>
      </c>
      <c r="H761" s="43" t="n">
        <v>3</v>
      </c>
      <c r="I761" s="44" t="inlineStr">
        <is>
          <t>Yes</t>
        </is>
      </c>
      <c r="J761" s="44" t="inlineStr">
        <is>
          <t>2015-05-21</t>
        </is>
      </c>
      <c r="K761" s="43" t="n">
        <v>2827</v>
      </c>
      <c r="L761" s="44" t="inlineStr">
        <is>
          <t>2015-05-21</t>
        </is>
      </c>
      <c r="M761" s="44" t="inlineStr">
        <is>
          <t>2026-08-25</t>
        </is>
      </c>
      <c r="N761" s="43" t="n">
        <v>161</v>
      </c>
      <c r="O761" s="46" t="n">
        <v>-27.0736</v>
      </c>
      <c r="P761" s="46" t="n">
        <v>-84.13</v>
      </c>
      <c r="Q761" s="46" t="n">
        <v>117.8881</v>
      </c>
      <c r="R761" s="46" t="n">
        <v>-15.9068</v>
      </c>
      <c r="S761" s="47">
        <f>IF($I761="Yes",$O761,"")</f>
        <v/>
      </c>
    </row>
    <row r="762">
      <c r="A762" s="48" t="inlineStr">
        <is>
          <t>BIP-UN.TO</t>
        </is>
      </c>
      <c r="B762" s="49" t="inlineStr">
        <is>
          <t>Brookfield Infrastructure Partners L.P.</t>
        </is>
      </c>
      <c r="C762" s="49" t="inlineStr">
        <is>
          <t>CA</t>
        </is>
      </c>
      <c r="D762" s="49" t="inlineStr">
        <is>
          <t>S&amp;P/TSX 60</t>
        </is>
      </c>
      <c r="E762" s="49" t="inlineStr">
        <is>
          <t>Utilities</t>
        </is>
      </c>
      <c r="F762" s="50" t="n">
        <v>42663206912</v>
      </c>
      <c r="G762" s="49" t="inlineStr">
        <is>
          <t>nightly refresh</t>
        </is>
      </c>
      <c r="H762" s="48" t="n">
        <v>39</v>
      </c>
      <c r="I762" s="49" t="inlineStr">
        <is>
          <t>Yes</t>
        </is>
      </c>
      <c r="J762" s="49" t="inlineStr">
        <is>
          <t>2009-09-25</t>
        </is>
      </c>
      <c r="K762" s="48" t="n">
        <v>4244</v>
      </c>
      <c r="L762" s="49" t="inlineStr">
        <is>
          <t>2009-09-25</t>
        </is>
      </c>
      <c r="M762" s="49" t="inlineStr">
        <is>
          <t>2026-08-25</t>
        </is>
      </c>
      <c r="N762" s="48" t="n">
        <v>182</v>
      </c>
      <c r="O762" s="51" t="n">
        <v>-12.2798</v>
      </c>
      <c r="P762" s="51" t="n">
        <v>-47.3545</v>
      </c>
      <c r="Q762" s="51" t="n">
        <v>39.4591</v>
      </c>
      <c r="R762" s="51" t="n">
        <v>-12.6299</v>
      </c>
      <c r="S762" s="52">
        <f>IF($I762="Yes",$O762,"")</f>
        <v/>
      </c>
    </row>
    <row r="763">
      <c r="A763" s="43" t="inlineStr">
        <is>
          <t>EMA.TO</t>
        </is>
      </c>
      <c r="B763" s="44" t="inlineStr">
        <is>
          <t>Emera Incorporated</t>
        </is>
      </c>
      <c r="C763" s="44" t="inlineStr">
        <is>
          <t>CA</t>
        </is>
      </c>
      <c r="D763" s="44" t="inlineStr">
        <is>
          <t>S&amp;P/TSX 60</t>
        </is>
      </c>
      <c r="E763" s="44" t="inlineStr">
        <is>
          <t>Utilities</t>
        </is>
      </c>
      <c r="F763" s="45" t="n">
        <v>21601861632</v>
      </c>
      <c r="G763" s="44" t="inlineStr">
        <is>
          <t>nightly refresh</t>
        </is>
      </c>
      <c r="H763" s="43" t="n">
        <v>50</v>
      </c>
      <c r="I763" s="44" t="inlineStr">
        <is>
          <t>Yes</t>
        </is>
      </c>
      <c r="J763" s="44" t="inlineStr">
        <is>
          <t>1995-01-12</t>
        </is>
      </c>
      <c r="K763" s="43" t="n">
        <v>6693</v>
      </c>
      <c r="L763" s="44" t="inlineStr">
        <is>
          <t>2000-01-04</t>
        </is>
      </c>
      <c r="M763" s="44" t="inlineStr">
        <is>
          <t>2026-08-25</t>
        </is>
      </c>
      <c r="N763" s="43" t="n">
        <v>256</v>
      </c>
      <c r="O763" s="46" t="n">
        <v>-10.6971</v>
      </c>
      <c r="P763" s="46" t="n">
        <v>-30.1444</v>
      </c>
      <c r="Q763" s="46" t="n">
        <v>27.0066</v>
      </c>
      <c r="R763" s="46" t="n">
        <v>-9.5885</v>
      </c>
      <c r="S763" s="47">
        <f>IF($I763="Yes",$O763,"")</f>
        <v/>
      </c>
    </row>
    <row r="764">
      <c r="A764" s="48" t="inlineStr">
        <is>
          <t>FTS.TO</t>
        </is>
      </c>
      <c r="B764" s="49" t="inlineStr">
        <is>
          <t>Fortis Inc.</t>
        </is>
      </c>
      <c r="C764" s="49" t="inlineStr">
        <is>
          <t>CA</t>
        </is>
      </c>
      <c r="D764" s="49" t="inlineStr">
        <is>
          <t>S&amp;P/TSX 60</t>
        </is>
      </c>
      <c r="E764" s="49" t="inlineStr">
        <is>
          <t>Utilities</t>
        </is>
      </c>
      <c r="F764" s="50" t="n">
        <v>39232012288</v>
      </c>
      <c r="G764" s="49" t="inlineStr">
        <is>
          <t>nightly refresh</t>
        </is>
      </c>
      <c r="H764" s="48" t="n">
        <v>41</v>
      </c>
      <c r="I764" s="49" t="inlineStr">
        <is>
          <t>Yes</t>
        </is>
      </c>
      <c r="J764" s="49" t="inlineStr">
        <is>
          <t>1995-01-12</t>
        </is>
      </c>
      <c r="K764" s="48" t="n">
        <v>6693</v>
      </c>
      <c r="L764" s="49" t="inlineStr">
        <is>
          <t>2000-01-04</t>
        </is>
      </c>
      <c r="M764" s="49" t="inlineStr">
        <is>
          <t>2026-08-25</t>
        </is>
      </c>
      <c r="N764" s="48" t="n">
        <v>273</v>
      </c>
      <c r="O764" s="51" t="n">
        <v>-10.1053</v>
      </c>
      <c r="P764" s="51" t="n">
        <v>-28.8124</v>
      </c>
      <c r="Q764" s="51" t="n">
        <v>26.5385</v>
      </c>
      <c r="R764" s="51" t="n">
        <v>-8.3033</v>
      </c>
      <c r="S764" s="52">
        <f>IF($I764="Yes",$O764,"")</f>
        <v/>
      </c>
    </row>
    <row r="765">
      <c r="A765" s="43" t="inlineStr">
        <is>
          <t>H.TO</t>
        </is>
      </c>
      <c r="B765" s="44" t="inlineStr">
        <is>
          <t>Hydro One Limited</t>
        </is>
      </c>
      <c r="C765" s="44" t="inlineStr">
        <is>
          <t>CA</t>
        </is>
      </c>
      <c r="D765" s="44" t="inlineStr">
        <is>
          <t>S&amp;P/TSX 60</t>
        </is>
      </c>
      <c r="E765" s="44" t="inlineStr">
        <is>
          <t>Utilities</t>
        </is>
      </c>
      <c r="F765" s="45" t="n">
        <v>32135147520</v>
      </c>
      <c r="G765" s="44" t="inlineStr">
        <is>
          <t>nightly refresh</t>
        </is>
      </c>
      <c r="H765" s="43" t="n">
        <v>44</v>
      </c>
      <c r="I765" s="44" t="inlineStr">
        <is>
          <t>Yes</t>
        </is>
      </c>
      <c r="J765" s="44" t="inlineStr">
        <is>
          <t>2015-11-17</t>
        </is>
      </c>
      <c r="K765" s="43" t="n">
        <v>2703</v>
      </c>
      <c r="L765" s="44" t="inlineStr">
        <is>
          <t>2015-11-17</t>
        </is>
      </c>
      <c r="M765" s="44" t="inlineStr">
        <is>
          <t>2026-08-25</t>
        </is>
      </c>
      <c r="N765" s="43" t="n">
        <v>88</v>
      </c>
      <c r="O765" s="46" t="n">
        <v>-9.952999999999999</v>
      </c>
      <c r="P765" s="46" t="n">
        <v>-28.243</v>
      </c>
      <c r="Q765" s="46" t="n">
        <v>25.465</v>
      </c>
      <c r="R765" s="46" t="n">
        <v>-11.722</v>
      </c>
      <c r="S765" s="47">
        <f>IF($I765="Yes",$O765,"")</f>
        <v/>
      </c>
    </row>
    <row r="766">
      <c r="A766" s="48" t="inlineStr">
        <is>
          <t>^AXJO</t>
        </is>
      </c>
      <c r="B766" s="49" t="inlineStr">
        <is>
          <t>^AXJO</t>
        </is>
      </c>
      <c r="C766" s="49" t="inlineStr">
        <is>
          <t>INDEX</t>
        </is>
      </c>
      <c r="D766" s="49" t="inlineStr">
        <is>
          <t>— not an index member —</t>
        </is>
      </c>
      <c r="E766" s="49" t="inlineStr">
        <is>
          <t>(not classified)</t>
        </is>
      </c>
      <c r="F766" s="50" t="n"/>
      <c r="G766" s="49" t="inlineStr">
        <is>
          <t>nightly refresh</t>
        </is>
      </c>
      <c r="H766" s="48" t="n"/>
      <c r="I766" s="49" t="inlineStr">
        <is>
          <t>—</t>
        </is>
      </c>
      <c r="J766" s="49" t="inlineStr">
        <is>
          <t>1992-11-23</t>
        </is>
      </c>
      <c r="K766" s="48" t="n">
        <v>6734</v>
      </c>
      <c r="L766" s="49" t="inlineStr">
        <is>
          <t>2000-01-04</t>
        </is>
      </c>
      <c r="M766" s="49" t="inlineStr">
        <is>
          <t>2026-08-26</t>
        </is>
      </c>
      <c r="N766" s="48" t="n">
        <v>220</v>
      </c>
      <c r="O766" s="51" t="n">
        <v>-13.3708</v>
      </c>
      <c r="P766" s="51" t="n">
        <v>-49.8399</v>
      </c>
      <c r="Q766" s="51" t="n">
        <v>19.172</v>
      </c>
      <c r="R766" s="51" t="n">
        <v>-1.8168</v>
      </c>
      <c r="S766" s="52">
        <f>IF($I766="Yes",$O766,"")</f>
        <v/>
      </c>
    </row>
    <row r="767">
      <c r="A767" s="43" t="inlineStr">
        <is>
          <t>^GSPC</t>
        </is>
      </c>
      <c r="B767" s="44" t="inlineStr">
        <is>
          <t>^GSPC</t>
        </is>
      </c>
      <c r="C767" s="44" t="inlineStr">
        <is>
          <t>INDEX</t>
        </is>
      </c>
      <c r="D767" s="44" t="inlineStr">
        <is>
          <t>— not an index member —</t>
        </is>
      </c>
      <c r="E767" s="44" t="inlineStr">
        <is>
          <t>(not classified)</t>
        </is>
      </c>
      <c r="F767" s="45" t="n"/>
      <c r="G767" s="44" t="inlineStr">
        <is>
          <t>nightly refresh</t>
        </is>
      </c>
      <c r="H767" s="43" t="n"/>
      <c r="I767" s="44" t="inlineStr">
        <is>
          <t>—</t>
        </is>
      </c>
      <c r="J767" s="44" t="inlineStr">
        <is>
          <t>1927-12-30</t>
        </is>
      </c>
      <c r="K767" s="43" t="n">
        <v>6701</v>
      </c>
      <c r="L767" s="44" t="inlineStr">
        <is>
          <t>2000-01-03</t>
        </is>
      </c>
      <c r="M767" s="44" t="inlineStr">
        <is>
          <t>2026-08-25</t>
        </is>
      </c>
      <c r="N767" s="43" t="n">
        <v>198</v>
      </c>
      <c r="O767" s="46" t="n">
        <v>-15.8968</v>
      </c>
      <c r="P767" s="46" t="n">
        <v>-53.0266</v>
      </c>
      <c r="Q767" s="46" t="n">
        <v>24.5729</v>
      </c>
      <c r="R767" s="46" t="n">
        <v>-1.7836</v>
      </c>
      <c r="S767" s="47">
        <f>IF($I767="Yes",$O767,"")</f>
        <v/>
      </c>
    </row>
    <row r="768">
      <c r="A768" s="48" t="inlineStr">
        <is>
          <t>^GSPTSE</t>
        </is>
      </c>
      <c r="B768" s="49" t="inlineStr">
        <is>
          <t>^GSPTSE</t>
        </is>
      </c>
      <c r="C768" s="49" t="inlineStr">
        <is>
          <t>INDEX</t>
        </is>
      </c>
      <c r="D768" s="49" t="inlineStr">
        <is>
          <t>— not an index member —</t>
        </is>
      </c>
      <c r="E768" s="49" t="inlineStr">
        <is>
          <t>(not classified)</t>
        </is>
      </c>
      <c r="F768" s="50" t="n"/>
      <c r="G768" s="49" t="inlineStr">
        <is>
          <t>nightly refresh</t>
        </is>
      </c>
      <c r="H768" s="48" t="n"/>
      <c r="I768" s="49" t="inlineStr">
        <is>
          <t>—</t>
        </is>
      </c>
      <c r="J768" s="49" t="inlineStr">
        <is>
          <t>1979-06-29</t>
        </is>
      </c>
      <c r="K768" s="48" t="n">
        <v>6693</v>
      </c>
      <c r="L768" s="49" t="inlineStr">
        <is>
          <t>2000-01-04</t>
        </is>
      </c>
      <c r="M768" s="49" t="inlineStr">
        <is>
          <t>2026-08-25</t>
        </is>
      </c>
      <c r="N768" s="48" t="n">
        <v>206</v>
      </c>
      <c r="O768" s="51" t="n">
        <v>-15.4583</v>
      </c>
      <c r="P768" s="51" t="n">
        <v>-50.0693</v>
      </c>
      <c r="Q768" s="51" t="n">
        <v>22.1531</v>
      </c>
      <c r="R768" s="51" t="n">
        <v>-0.092</v>
      </c>
      <c r="S768" s="52">
        <f>IF($I768="Yes",$O768,"")</f>
        <v/>
      </c>
    </row>
    <row r="769">
      <c r="A769" s="43" t="inlineStr">
        <is>
          <t>^IXIC</t>
        </is>
      </c>
      <c r="B769" s="44" t="inlineStr">
        <is>
          <t>^IXIC</t>
        </is>
      </c>
      <c r="C769" s="44" t="inlineStr">
        <is>
          <t>INDEX</t>
        </is>
      </c>
      <c r="D769" s="44" t="inlineStr">
        <is>
          <t>— not an index member —</t>
        </is>
      </c>
      <c r="E769" s="44" t="inlineStr">
        <is>
          <t>(not classified)</t>
        </is>
      </c>
      <c r="F769" s="45" t="n"/>
      <c r="G769" s="44" t="inlineStr">
        <is>
          <t>nightly refresh</t>
        </is>
      </c>
      <c r="H769" s="43" t="n"/>
      <c r="I769" s="44" t="inlineStr">
        <is>
          <t>—</t>
        </is>
      </c>
      <c r="J769" s="44" t="inlineStr">
        <is>
          <t>1971-02-05</t>
        </is>
      </c>
      <c r="K769" s="43" t="n">
        <v>6701</v>
      </c>
      <c r="L769" s="44" t="inlineStr">
        <is>
          <t>2000-01-03</t>
        </is>
      </c>
      <c r="M769" s="44" t="inlineStr">
        <is>
          <t>2026-08-25</t>
        </is>
      </c>
      <c r="N769" s="43" t="n">
        <v>245</v>
      </c>
      <c r="O769" s="46" t="n">
        <v>-18.8965</v>
      </c>
      <c r="P769" s="46" t="n">
        <v>-63.9638</v>
      </c>
      <c r="Q769" s="46" t="n">
        <v>32.3131</v>
      </c>
      <c r="R769" s="46" t="n">
        <v>-3.8209</v>
      </c>
      <c r="S769" s="47">
        <f>IF($I769="Yes",$O769,"")</f>
        <v/>
      </c>
    </row>
    <row r="770">
      <c r="A770" s="48" t="inlineStr">
        <is>
          <t>29M.AX</t>
        </is>
      </c>
      <c r="B770" s="49" t="inlineStr">
        <is>
          <t>29Metals Limited</t>
        </is>
      </c>
      <c r="C770" s="49" t="inlineStr">
        <is>
          <t>AU</t>
        </is>
      </c>
      <c r="D770" s="49" t="inlineStr">
        <is>
          <t>— not an index member —</t>
        </is>
      </c>
      <c r="E770" s="49" t="inlineStr">
        <is>
          <t>Basic Materials</t>
        </is>
      </c>
      <c r="F770" s="50" t="n">
        <v>595026048</v>
      </c>
      <c r="G770" s="49" t="inlineStr">
        <is>
          <t>nightly refresh</t>
        </is>
      </c>
      <c r="H770" s="48" t="n"/>
      <c r="I770" s="49" t="inlineStr">
        <is>
          <t>—</t>
        </is>
      </c>
      <c r="J770" s="49" t="inlineStr">
        <is>
          <t>2021-07-02</t>
        </is>
      </c>
      <c r="K770" s="48" t="n">
        <v>1304</v>
      </c>
      <c r="L770" s="49" t="inlineStr">
        <is>
          <t>2021-07-02</t>
        </is>
      </c>
      <c r="M770" s="49" t="inlineStr">
        <is>
          <t>2026-08-26</t>
        </is>
      </c>
      <c r="N770" s="48" t="n">
        <v>57</v>
      </c>
      <c r="O770" s="51" t="n">
        <v>-49.4943</v>
      </c>
      <c r="P770" s="51" t="n">
        <v>-90.0658</v>
      </c>
      <c r="Q770" s="51" t="n">
        <v>111.6825</v>
      </c>
      <c r="R770" s="51" t="n">
        <v>-46.6667</v>
      </c>
      <c r="S770" s="52">
        <f>IF($I770="Yes",$O770,"")</f>
        <v/>
      </c>
    </row>
    <row r="771">
      <c r="A771" s="43" t="inlineStr">
        <is>
          <t>AGI.TO</t>
        </is>
      </c>
      <c r="B771" s="44" t="inlineStr">
        <is>
          <t>Alamos Gold Inc.</t>
        </is>
      </c>
      <c r="C771" s="44" t="inlineStr">
        <is>
          <t>CA</t>
        </is>
      </c>
      <c r="D771" s="44" t="inlineStr">
        <is>
          <t>— not an index member —</t>
        </is>
      </c>
      <c r="E771" s="44" t="inlineStr">
        <is>
          <t>Basic Materials</t>
        </is>
      </c>
      <c r="F771" s="45" t="n">
        <v>21817665536</v>
      </c>
      <c r="G771" s="44" t="inlineStr">
        <is>
          <t>nightly refresh</t>
        </is>
      </c>
      <c r="H771" s="43" t="n"/>
      <c r="I771" s="44" t="inlineStr">
        <is>
          <t>—</t>
        </is>
      </c>
      <c r="J771" s="44" t="inlineStr">
        <is>
          <t>2003-10-09</t>
        </is>
      </c>
      <c r="K771" s="43" t="n">
        <v>5744</v>
      </c>
      <c r="L771" s="44" t="inlineStr">
        <is>
          <t>2003-10-09</t>
        </is>
      </c>
      <c r="M771" s="44" t="inlineStr">
        <is>
          <t>2026-08-25</t>
        </is>
      </c>
      <c r="N771" s="43" t="n">
        <v>356</v>
      </c>
      <c r="O771" s="46" t="n">
        <v>-26.241</v>
      </c>
      <c r="P771" s="46" t="n">
        <v>-66.8109</v>
      </c>
      <c r="Q771" s="46" t="n">
        <v>77.18049999999999</v>
      </c>
      <c r="R771" s="46" t="n">
        <v>-28.676</v>
      </c>
      <c r="S771" s="47">
        <f>IF($I771="Yes",$O771,"")</f>
        <v/>
      </c>
    </row>
    <row r="772">
      <c r="A772" s="48" t="inlineStr">
        <is>
          <t>AIS.AX</t>
        </is>
      </c>
      <c r="B772" s="49" t="inlineStr">
        <is>
          <t>Aeris Resources Limited</t>
        </is>
      </c>
      <c r="C772" s="49" t="inlineStr">
        <is>
          <t>AU</t>
        </is>
      </c>
      <c r="D772" s="49" t="inlineStr">
        <is>
          <t>— not an index member —</t>
        </is>
      </c>
      <c r="E772" s="49" t="inlineStr">
        <is>
          <t>Basic Materials</t>
        </is>
      </c>
      <c r="F772" s="50" t="n">
        <v>793454912</v>
      </c>
      <c r="G772" s="49" t="inlineStr">
        <is>
          <t>nightly refresh</t>
        </is>
      </c>
      <c r="H772" s="48" t="n"/>
      <c r="I772" s="49" t="inlineStr">
        <is>
          <t>—</t>
        </is>
      </c>
      <c r="J772" s="49" t="inlineStr">
        <is>
          <t>2011-02-11</t>
        </is>
      </c>
      <c r="K772" s="48" t="n">
        <v>3930</v>
      </c>
      <c r="L772" s="49" t="inlineStr">
        <is>
          <t>2011-02-11</t>
        </is>
      </c>
      <c r="M772" s="49" t="inlineStr">
        <is>
          <t>2026-08-26</t>
        </is>
      </c>
      <c r="N772" s="48" t="n">
        <v>142</v>
      </c>
      <c r="O772" s="51" t="n">
        <v>-49.5153</v>
      </c>
      <c r="P772" s="51" t="n">
        <v>-97.8017</v>
      </c>
      <c r="Q772" s="51" t="n">
        <v>133.4334</v>
      </c>
      <c r="R772" s="51" t="n">
        <v>-32.1429</v>
      </c>
      <c r="S772" s="52">
        <f>IF($I772="Yes",$O772,"")</f>
        <v/>
      </c>
    </row>
    <row r="773">
      <c r="A773" s="43" t="inlineStr">
        <is>
          <t>CE</t>
        </is>
      </c>
      <c r="B773" s="44" t="inlineStr">
        <is>
          <t>Celanese Corporation</t>
        </is>
      </c>
      <c r="C773" s="44" t="inlineStr">
        <is>
          <t>US</t>
        </is>
      </c>
      <c r="D773" s="44" t="inlineStr">
        <is>
          <t>— not an index member —</t>
        </is>
      </c>
      <c r="E773" s="44" t="inlineStr">
        <is>
          <t>Basic Materials</t>
        </is>
      </c>
      <c r="F773" s="45" t="n">
        <v>4905777152</v>
      </c>
      <c r="G773" s="44" t="inlineStr">
        <is>
          <t>nightly refresh</t>
        </is>
      </c>
      <c r="H773" s="43" t="n"/>
      <c r="I773" s="44" t="inlineStr">
        <is>
          <t>—</t>
        </is>
      </c>
      <c r="J773" s="44" t="inlineStr">
        <is>
          <t>2005-01-21</t>
        </is>
      </c>
      <c r="K773" s="43" t="n">
        <v>5432</v>
      </c>
      <c r="L773" s="44" t="inlineStr">
        <is>
          <t>2005-01-21</t>
        </is>
      </c>
      <c r="M773" s="44" t="inlineStr">
        <is>
          <t>2026-08-25</t>
        </is>
      </c>
      <c r="N773" s="43" t="n">
        <v>286</v>
      </c>
      <c r="O773" s="46" t="n">
        <v>-23.7699</v>
      </c>
      <c r="P773" s="46" t="n">
        <v>-85.1627</v>
      </c>
      <c r="Q773" s="46" t="n">
        <v>62.1725</v>
      </c>
      <c r="R773" s="46" t="n">
        <v>-37.0297</v>
      </c>
      <c r="S773" s="47">
        <f>IF($I773="Yes",$O773,"")</f>
        <v/>
      </c>
    </row>
    <row r="774">
      <c r="A774" s="48" t="inlineStr">
        <is>
          <t>EMN</t>
        </is>
      </c>
      <c r="B774" s="49" t="inlineStr">
        <is>
          <t>Eastman Chemical Company</t>
        </is>
      </c>
      <c r="C774" s="49" t="inlineStr">
        <is>
          <t>US</t>
        </is>
      </c>
      <c r="D774" s="49" t="inlineStr">
        <is>
          <t>— not an index member —</t>
        </is>
      </c>
      <c r="E774" s="49" t="inlineStr">
        <is>
          <t>Basic Materials</t>
        </is>
      </c>
      <c r="F774" s="50" t="n">
        <v>8337840640</v>
      </c>
      <c r="G774" s="49" t="inlineStr">
        <is>
          <t>nightly refresh</t>
        </is>
      </c>
      <c r="H774" s="48" t="n"/>
      <c r="I774" s="49" t="inlineStr">
        <is>
          <t>—</t>
        </is>
      </c>
      <c r="J774" s="49" t="inlineStr">
        <is>
          <t>1993-12-14</t>
        </is>
      </c>
      <c r="K774" s="48" t="n">
        <v>6701</v>
      </c>
      <c r="L774" s="49" t="inlineStr">
        <is>
          <t>2000-01-03</t>
        </is>
      </c>
      <c r="M774" s="49" t="inlineStr">
        <is>
          <t>2026-08-25</t>
        </is>
      </c>
      <c r="N774" s="48" t="n">
        <v>348</v>
      </c>
      <c r="O774" s="51" t="n">
        <v>-19.5013</v>
      </c>
      <c r="P774" s="51" t="n">
        <v>-76.34910000000001</v>
      </c>
      <c r="Q774" s="51" t="n">
        <v>50.9102</v>
      </c>
      <c r="R774" s="51" t="n">
        <v>-12.6784</v>
      </c>
      <c r="S774" s="52">
        <f>IF($I774="Yes",$O774,"")</f>
        <v/>
      </c>
    </row>
    <row r="775">
      <c r="A775" s="43" t="inlineStr">
        <is>
          <t>FMC</t>
        </is>
      </c>
      <c r="B775" s="44" t="inlineStr">
        <is>
          <t>FMC Corporation</t>
        </is>
      </c>
      <c r="C775" s="44" t="inlineStr">
        <is>
          <t>US</t>
        </is>
      </c>
      <c r="D775" s="44" t="inlineStr">
        <is>
          <t>— not an index member —</t>
        </is>
      </c>
      <c r="E775" s="44" t="inlineStr">
        <is>
          <t>Basic Materials</t>
        </is>
      </c>
      <c r="F775" s="45" t="n">
        <v>1387513344</v>
      </c>
      <c r="G775" s="44" t="inlineStr">
        <is>
          <t>nightly refresh</t>
        </is>
      </c>
      <c r="H775" s="43" t="n"/>
      <c r="I775" s="44" t="inlineStr">
        <is>
          <t>—</t>
        </is>
      </c>
      <c r="J775" s="44" t="inlineStr">
        <is>
          <t>1980-03-17</t>
        </is>
      </c>
      <c r="K775" s="43" t="n">
        <v>6701</v>
      </c>
      <c r="L775" s="44" t="inlineStr">
        <is>
          <t>2000-01-03</t>
        </is>
      </c>
      <c r="M775" s="44" t="inlineStr">
        <is>
          <t>2026-08-25</t>
        </is>
      </c>
      <c r="N775" s="43" t="n">
        <v>343</v>
      </c>
      <c r="O775" s="46" t="n">
        <v>-23.8075</v>
      </c>
      <c r="P775" s="46" t="n">
        <v>-79.26600000000001</v>
      </c>
      <c r="Q775" s="46" t="n">
        <v>48.5877</v>
      </c>
      <c r="R775" s="46" t="n">
        <v>-71.76300000000001</v>
      </c>
      <c r="S775" s="47">
        <f>IF($I775="Yes",$O775,"")</f>
        <v/>
      </c>
    </row>
    <row r="776">
      <c r="A776" s="48" t="inlineStr">
        <is>
          <t>NUF.AX</t>
        </is>
      </c>
      <c r="B776" s="49" t="inlineStr">
        <is>
          <t>Nufarm Limited</t>
        </is>
      </c>
      <c r="C776" s="49" t="inlineStr">
        <is>
          <t>AU</t>
        </is>
      </c>
      <c r="D776" s="49" t="inlineStr">
        <is>
          <t>— not an index member —</t>
        </is>
      </c>
      <c r="E776" s="49" t="inlineStr">
        <is>
          <t>Basic Materials</t>
        </is>
      </c>
      <c r="F776" s="50" t="n">
        <v>1210411392</v>
      </c>
      <c r="G776" s="49" t="inlineStr">
        <is>
          <t>nightly refresh</t>
        </is>
      </c>
      <c r="H776" s="48" t="n"/>
      <c r="I776" s="49" t="inlineStr">
        <is>
          <t>—</t>
        </is>
      </c>
      <c r="J776" s="49" t="inlineStr">
        <is>
          <t>1988-11-30</t>
        </is>
      </c>
      <c r="K776" s="48" t="n">
        <v>6780</v>
      </c>
      <c r="L776" s="49" t="inlineStr">
        <is>
          <t>2000-01-03</t>
        </is>
      </c>
      <c r="M776" s="49" t="inlineStr">
        <is>
          <t>2026-08-26</t>
        </is>
      </c>
      <c r="N776" s="48" t="n">
        <v>339</v>
      </c>
      <c r="O776" s="51" t="n">
        <v>-24.7708</v>
      </c>
      <c r="P776" s="51" t="n">
        <v>-73.33920000000001</v>
      </c>
      <c r="Q776" s="51" t="n">
        <v>42.4954</v>
      </c>
      <c r="R776" s="51" t="n">
        <v>-3.7383</v>
      </c>
      <c r="S776" s="52">
        <f>IF($I776="Yes",$O776,"")</f>
        <v/>
      </c>
    </row>
    <row r="777">
      <c r="A777" s="43" t="inlineStr">
        <is>
          <t>WFG.TO</t>
        </is>
      </c>
      <c r="B777" s="44" t="inlineStr">
        <is>
          <t>West Fraser Timber Co. Ltd.</t>
        </is>
      </c>
      <c r="C777" s="44" t="inlineStr">
        <is>
          <t>CA</t>
        </is>
      </c>
      <c r="D777" s="44" t="inlineStr">
        <is>
          <t>— not an index member —</t>
        </is>
      </c>
      <c r="E777" s="44" t="inlineStr">
        <is>
          <t>Basic Materials</t>
        </is>
      </c>
      <c r="F777" s="45" t="n">
        <v>7369172992</v>
      </c>
      <c r="G777" s="44" t="inlineStr">
        <is>
          <t>nightly refresh</t>
        </is>
      </c>
      <c r="H777" s="43" t="n"/>
      <c r="I777" s="44" t="inlineStr">
        <is>
          <t>—</t>
        </is>
      </c>
      <c r="J777" s="44" t="inlineStr">
        <is>
          <t>1986-05-07</t>
        </is>
      </c>
      <c r="K777" s="43" t="n">
        <v>6695</v>
      </c>
      <c r="L777" s="44" t="inlineStr">
        <is>
          <t>2000-01-04</t>
        </is>
      </c>
      <c r="M777" s="44" t="inlineStr">
        <is>
          <t>2026-08-25</t>
        </is>
      </c>
      <c r="N777" s="43" t="n">
        <v>376</v>
      </c>
      <c r="O777" s="46" t="n">
        <v>-20.865</v>
      </c>
      <c r="P777" s="46" t="n">
        <v>-67.25360000000001</v>
      </c>
      <c r="Q777" s="46" t="n">
        <v>47.9931</v>
      </c>
      <c r="R777" s="46" t="n">
        <v>-8.8782</v>
      </c>
      <c r="S777" s="47">
        <f>IF($I777="Yes",$O777,"")</f>
        <v/>
      </c>
    </row>
    <row r="778">
      <c r="A778" s="48" t="inlineStr">
        <is>
          <t>AIM.AX</t>
        </is>
      </c>
      <c r="B778" s="49" t="inlineStr">
        <is>
          <t>Ai-Media Technologies Limited</t>
        </is>
      </c>
      <c r="C778" s="49" t="inlineStr">
        <is>
          <t>AU</t>
        </is>
      </c>
      <c r="D778" s="49" t="inlineStr">
        <is>
          <t>— not an index member —</t>
        </is>
      </c>
      <c r="E778" s="49" t="inlineStr">
        <is>
          <t>Communication Services</t>
        </is>
      </c>
      <c r="F778" s="50" t="n">
        <v>54856608</v>
      </c>
      <c r="G778" s="49" t="inlineStr">
        <is>
          <t>nightly refresh</t>
        </is>
      </c>
      <c r="H778" s="48" t="n"/>
      <c r="I778" s="49" t="inlineStr">
        <is>
          <t>—</t>
        </is>
      </c>
      <c r="J778" s="49" t="inlineStr">
        <is>
          <t>2020-09-15</t>
        </is>
      </c>
      <c r="K778" s="48" t="n">
        <v>1505</v>
      </c>
      <c r="L778" s="49" t="inlineStr">
        <is>
          <t>2020-09-15</t>
        </is>
      </c>
      <c r="M778" s="49" t="inlineStr">
        <is>
          <t>2026-08-26</t>
        </is>
      </c>
      <c r="N778" s="48" t="n">
        <v>62</v>
      </c>
      <c r="O778" s="51" t="n">
        <v>-40.8562</v>
      </c>
      <c r="P778" s="51" t="n">
        <v>-79.47369999999999</v>
      </c>
      <c r="Q778" s="51" t="n">
        <v>74.1558</v>
      </c>
      <c r="R778" s="51" t="n">
        <v>-78.4211</v>
      </c>
      <c r="S778" s="52">
        <f>IF($I778="Yes",$O778,"")</f>
        <v/>
      </c>
    </row>
    <row r="779">
      <c r="A779" s="43" t="inlineStr">
        <is>
          <t>EA</t>
        </is>
      </c>
      <c r="B779" s="44" t="inlineStr">
        <is>
          <t>Electronic Arts Inc</t>
        </is>
      </c>
      <c r="C779" s="44" t="inlineStr">
        <is>
          <t>US</t>
        </is>
      </c>
      <c r="D779" s="44" t="inlineStr">
        <is>
          <t>— not an index member —</t>
        </is>
      </c>
      <c r="E779" s="44" t="inlineStr">
        <is>
          <t>Communication Services</t>
        </is>
      </c>
      <c r="F779" s="45" t="n">
        <v>52925640704</v>
      </c>
      <c r="G779" s="44" t="inlineStr">
        <is>
          <t>nightly refresh</t>
        </is>
      </c>
      <c r="H779" s="43" t="n"/>
      <c r="I779" s="44" t="inlineStr">
        <is>
          <t>—</t>
        </is>
      </c>
      <c r="J779" s="44" t="inlineStr">
        <is>
          <t>1989-09-20</t>
        </is>
      </c>
      <c r="K779" s="43" t="n">
        <v>6690</v>
      </c>
      <c r="L779" s="44" t="inlineStr">
        <is>
          <t>2000-01-03</t>
        </is>
      </c>
      <c r="M779" s="44" t="inlineStr">
        <is>
          <t>2026-08-10</t>
        </is>
      </c>
      <c r="N779" s="43" t="n">
        <v>376</v>
      </c>
      <c r="O779" s="46" t="n">
        <v>-21.1203</v>
      </c>
      <c r="P779" s="46" t="n">
        <v>-74.3207</v>
      </c>
      <c r="Q779" s="46" t="n">
        <v>49.1327</v>
      </c>
      <c r="R779" s="46" t="n">
        <v>-0.2379</v>
      </c>
      <c r="S779" s="47">
        <f>IF($I779="Yes",$O779,"")</f>
        <v/>
      </c>
    </row>
    <row r="780">
      <c r="A780" s="48" t="inlineStr">
        <is>
          <t>MTCH</t>
        </is>
      </c>
      <c r="B780" s="49" t="inlineStr">
        <is>
          <t>Match Group, Inc.</t>
        </is>
      </c>
      <c r="C780" s="49" t="inlineStr">
        <is>
          <t>US</t>
        </is>
      </c>
      <c r="D780" s="49" t="inlineStr">
        <is>
          <t>— not an index member —</t>
        </is>
      </c>
      <c r="E780" s="49" t="inlineStr">
        <is>
          <t>Communication Services</t>
        </is>
      </c>
      <c r="F780" s="50" t="n">
        <v>9813522432</v>
      </c>
      <c r="G780" s="49" t="inlineStr">
        <is>
          <t>nightly refresh</t>
        </is>
      </c>
      <c r="H780" s="48" t="n"/>
      <c r="I780" s="49" t="inlineStr">
        <is>
          <t>—</t>
        </is>
      </c>
      <c r="J780" s="49" t="inlineStr">
        <is>
          <t>1993-01-19</t>
        </is>
      </c>
      <c r="K780" s="48" t="n">
        <v>6701</v>
      </c>
      <c r="L780" s="49" t="inlineStr">
        <is>
          <t>2000-01-03</t>
        </is>
      </c>
      <c r="M780" s="49" t="inlineStr">
        <is>
          <t>2026-08-25</t>
        </is>
      </c>
      <c r="N780" s="48" t="n">
        <v>384</v>
      </c>
      <c r="O780" s="51" t="n">
        <v>-24.8206</v>
      </c>
      <c r="P780" s="51" t="n">
        <v>-77.21980000000001</v>
      </c>
      <c r="Q780" s="51" t="n">
        <v>57.4744</v>
      </c>
      <c r="R780" s="51" t="n">
        <v>-0.7179</v>
      </c>
      <c r="S780" s="52">
        <f>IF($I780="Yes",$O780,"")</f>
        <v/>
      </c>
    </row>
    <row r="781">
      <c r="A781" s="43" t="inlineStr">
        <is>
          <t>QBR-B.TO</t>
        </is>
      </c>
      <c r="B781" s="44" t="inlineStr">
        <is>
          <t>Quebecor Inc.</t>
        </is>
      </c>
      <c r="C781" s="44" t="inlineStr">
        <is>
          <t>CA</t>
        </is>
      </c>
      <c r="D781" s="44" t="inlineStr">
        <is>
          <t>— not an index member —</t>
        </is>
      </c>
      <c r="E781" s="44" t="inlineStr">
        <is>
          <t>Communication Services</t>
        </is>
      </c>
      <c r="F781" s="45" t="n">
        <v>14052877312</v>
      </c>
      <c r="G781" s="44" t="inlineStr">
        <is>
          <t>nightly refresh</t>
        </is>
      </c>
      <c r="H781" s="43" t="n"/>
      <c r="I781" s="44" t="inlineStr">
        <is>
          <t>—</t>
        </is>
      </c>
      <c r="J781" s="44" t="inlineStr">
        <is>
          <t>1995-01-12</t>
        </is>
      </c>
      <c r="K781" s="43" t="n">
        <v>6693</v>
      </c>
      <c r="L781" s="44" t="inlineStr">
        <is>
          <t>2000-01-04</t>
        </is>
      </c>
      <c r="M781" s="44" t="inlineStr">
        <is>
          <t>2026-08-25</t>
        </is>
      </c>
      <c r="N781" s="43" t="n">
        <v>325</v>
      </c>
      <c r="O781" s="46" t="n">
        <v>-18.4043</v>
      </c>
      <c r="P781" s="46" t="n">
        <v>-63.9487</v>
      </c>
      <c r="Q781" s="46" t="n">
        <v>38.424</v>
      </c>
      <c r="R781" s="46" t="n">
        <v>-11.9859</v>
      </c>
      <c r="S781" s="47">
        <f>IF($I781="Yes",$O781,"")</f>
        <v/>
      </c>
    </row>
    <row r="782">
      <c r="A782" s="48" t="inlineStr">
        <is>
          <t>SATS</t>
        </is>
      </c>
      <c r="B782" s="49" t="inlineStr">
        <is>
          <t>EchoStar Corporation</t>
        </is>
      </c>
      <c r="C782" s="49" t="inlineStr">
        <is>
          <t>US</t>
        </is>
      </c>
      <c r="D782" s="49" t="inlineStr">
        <is>
          <t>— not an index member —</t>
        </is>
      </c>
      <c r="E782" s="49" t="inlineStr">
        <is>
          <t>Communication Services</t>
        </is>
      </c>
      <c r="F782" s="50" t="n">
        <v>30115971072</v>
      </c>
      <c r="G782" s="49" t="inlineStr">
        <is>
          <t>nightly refresh</t>
        </is>
      </c>
      <c r="H782" s="48" t="n"/>
      <c r="I782" s="49" t="inlineStr">
        <is>
          <t>—</t>
        </is>
      </c>
      <c r="J782" s="49" t="inlineStr">
        <is>
          <t>2008-01-02</t>
        </is>
      </c>
      <c r="K782" s="48" t="n">
        <v>4656</v>
      </c>
      <c r="L782" s="49" t="inlineStr">
        <is>
          <t>2008-01-02</t>
        </is>
      </c>
      <c r="M782" s="49" t="inlineStr">
        <is>
          <t>2026-07-17</t>
        </is>
      </c>
      <c r="N782" s="48" t="n">
        <v>244</v>
      </c>
      <c r="O782" s="51" t="n">
        <v>-26.595</v>
      </c>
      <c r="P782" s="51" t="n">
        <v>-68.759</v>
      </c>
      <c r="Q782" s="51" t="n">
        <v>77.8249</v>
      </c>
      <c r="R782" s="51" t="n">
        <v>-37.5008</v>
      </c>
      <c r="S782" s="52">
        <f>IF($I782="Yes",$O782,"")</f>
        <v/>
      </c>
    </row>
    <row r="783">
      <c r="A783" s="43" t="inlineStr">
        <is>
          <t>SPK.AX</t>
        </is>
      </c>
      <c r="B783" s="44" t="inlineStr">
        <is>
          <t>Spark New Zealand Limited</t>
        </is>
      </c>
      <c r="C783" s="44" t="inlineStr">
        <is>
          <t>AU</t>
        </is>
      </c>
      <c r="D783" s="44" t="inlineStr">
        <is>
          <t>— not an index member —</t>
        </is>
      </c>
      <c r="E783" s="44" t="inlineStr">
        <is>
          <t>Communication Services</t>
        </is>
      </c>
      <c r="F783" s="45" t="n">
        <v>3345530112</v>
      </c>
      <c r="G783" s="44" t="inlineStr">
        <is>
          <t>nightly refresh</t>
        </is>
      </c>
      <c r="H783" s="43" t="n"/>
      <c r="I783" s="44" t="inlineStr">
        <is>
          <t>—</t>
        </is>
      </c>
      <c r="J783" s="44" t="inlineStr">
        <is>
          <t>1991-08-30</t>
        </is>
      </c>
      <c r="K783" s="43" t="n">
        <v>6780</v>
      </c>
      <c r="L783" s="44" t="inlineStr">
        <is>
          <t>2000-01-03</t>
        </is>
      </c>
      <c r="M783" s="44" t="inlineStr">
        <is>
          <t>2026-08-26</t>
        </is>
      </c>
      <c r="N783" s="43" t="n">
        <v>306</v>
      </c>
      <c r="O783" s="46" t="n">
        <v>-17.8581</v>
      </c>
      <c r="P783" s="46" t="n">
        <v>-57.4229</v>
      </c>
      <c r="Q783" s="46" t="n">
        <v>27.3923</v>
      </c>
      <c r="R783" s="46" t="n">
        <v>-16.8924</v>
      </c>
      <c r="S783" s="47">
        <f>IF($I783="Yes",$O783,"")</f>
        <v/>
      </c>
    </row>
    <row r="784">
      <c r="A784" s="48" t="inlineStr">
        <is>
          <t>ABY.AX</t>
        </is>
      </c>
      <c r="B784" s="49" t="inlineStr">
        <is>
          <t>Adore Beauty Group Limited</t>
        </is>
      </c>
      <c r="C784" s="49" t="inlineStr">
        <is>
          <t>AU</t>
        </is>
      </c>
      <c r="D784" s="49" t="inlineStr">
        <is>
          <t>— not an index member —</t>
        </is>
      </c>
      <c r="E784" s="49" t="inlineStr">
        <is>
          <t>Consumer Cyclical</t>
        </is>
      </c>
      <c r="F784" s="50" t="n">
        <v>29126958</v>
      </c>
      <c r="G784" s="49" t="inlineStr">
        <is>
          <t>nightly refresh</t>
        </is>
      </c>
      <c r="H784" s="48" t="n"/>
      <c r="I784" s="49" t="inlineStr">
        <is>
          <t>—</t>
        </is>
      </c>
      <c r="J784" s="49" t="inlineStr">
        <is>
          <t>2020-10-23</t>
        </is>
      </c>
      <c r="K784" s="48" t="n">
        <v>1477</v>
      </c>
      <c r="L784" s="49" t="inlineStr">
        <is>
          <t>2020-10-23</t>
        </is>
      </c>
      <c r="M784" s="49" t="inlineStr">
        <is>
          <t>2026-08-26</t>
        </is>
      </c>
      <c r="N784" s="48" t="n">
        <v>68</v>
      </c>
      <c r="O784" s="51" t="n">
        <v>-46.8241</v>
      </c>
      <c r="P784" s="51" t="n">
        <v>-81.95489999999999</v>
      </c>
      <c r="Q784" s="51" t="n">
        <v>43.3183</v>
      </c>
      <c r="R784" s="51" t="n">
        <v>-75.5639</v>
      </c>
      <c r="S784" s="52">
        <f>IF($I784="Yes",$O784,"")</f>
        <v/>
      </c>
    </row>
    <row r="785">
      <c r="A785" s="43" t="inlineStr">
        <is>
          <t>ADH.AX</t>
        </is>
      </c>
      <c r="B785" s="44" t="inlineStr">
        <is>
          <t>Adairs Limited</t>
        </is>
      </c>
      <c r="C785" s="44" t="inlineStr">
        <is>
          <t>AU</t>
        </is>
      </c>
      <c r="D785" s="44" t="inlineStr">
        <is>
          <t>— not an index member —</t>
        </is>
      </c>
      <c r="E785" s="44" t="inlineStr">
        <is>
          <t>Consumer Cyclical</t>
        </is>
      </c>
      <c r="F785" s="45" t="n">
        <v>256311968</v>
      </c>
      <c r="G785" s="44" t="inlineStr">
        <is>
          <t>nightly refresh</t>
        </is>
      </c>
      <c r="H785" s="43" t="n"/>
      <c r="I785" s="44" t="inlineStr">
        <is>
          <t>—</t>
        </is>
      </c>
      <c r="J785" s="44" t="inlineStr">
        <is>
          <t>2015-06-17</t>
        </is>
      </c>
      <c r="K785" s="43" t="n">
        <v>2836</v>
      </c>
      <c r="L785" s="44" t="inlineStr">
        <is>
          <t>2015-06-17</t>
        </is>
      </c>
      <c r="M785" s="44" t="inlineStr">
        <is>
          <t>2026-08-26</t>
        </is>
      </c>
      <c r="N785" s="43" t="n">
        <v>147</v>
      </c>
      <c r="O785" s="46" t="n">
        <v>-31.9699</v>
      </c>
      <c r="P785" s="46" t="n">
        <v>-81.93429999999999</v>
      </c>
      <c r="Q785" s="46" t="n">
        <v>108.1142</v>
      </c>
      <c r="R785" s="46" t="n">
        <v>-46.2437</v>
      </c>
      <c r="S785" s="47">
        <f>IF($I785="Yes",$O785,"")</f>
        <v/>
      </c>
    </row>
    <row r="786">
      <c r="A786" s="48" t="inlineStr">
        <is>
          <t>AGI.AX</t>
        </is>
      </c>
      <c r="B786" s="49" t="inlineStr">
        <is>
          <t>Ainsworth Game Technology Limited</t>
        </is>
      </c>
      <c r="C786" s="49" t="inlineStr">
        <is>
          <t>AU</t>
        </is>
      </c>
      <c r="D786" s="49" t="inlineStr">
        <is>
          <t>— not an index member —</t>
        </is>
      </c>
      <c r="E786" s="49" t="inlineStr">
        <is>
          <t>Consumer Cyclical</t>
        </is>
      </c>
      <c r="F786" s="50" t="n">
        <v>353633600</v>
      </c>
      <c r="G786" s="49" t="inlineStr">
        <is>
          <t>nightly refresh</t>
        </is>
      </c>
      <c r="H786" s="48" t="n"/>
      <c r="I786" s="49" t="inlineStr">
        <is>
          <t>—</t>
        </is>
      </c>
      <c r="J786" s="49" t="inlineStr">
        <is>
          <t>2001-12-14</t>
        </is>
      </c>
      <c r="K786" s="48" t="n">
        <v>6271</v>
      </c>
      <c r="L786" s="49" t="inlineStr">
        <is>
          <t>2001-12-14</t>
        </is>
      </c>
      <c r="M786" s="49" t="inlineStr">
        <is>
          <t>2026-08-26</t>
        </is>
      </c>
      <c r="N786" s="48" t="n">
        <v>265</v>
      </c>
      <c r="O786" s="51" t="n">
        <v>-36.2782</v>
      </c>
      <c r="P786" s="51" t="n">
        <v>-86.3095</v>
      </c>
      <c r="Q786" s="51" t="n">
        <v>100.3821</v>
      </c>
      <c r="R786" s="51" t="n">
        <v>-34.0625</v>
      </c>
      <c r="S786" s="52">
        <f>IF($I786="Yes",$O786,"")</f>
        <v/>
      </c>
    </row>
    <row r="787">
      <c r="A787" s="43" t="inlineStr">
        <is>
          <t>ASG.AX</t>
        </is>
      </c>
      <c r="B787" s="44" t="inlineStr">
        <is>
          <t>Autosports Group Limited</t>
        </is>
      </c>
      <c r="C787" s="44" t="inlineStr">
        <is>
          <t>AU</t>
        </is>
      </c>
      <c r="D787" s="44" t="inlineStr">
        <is>
          <t>— not an index member —</t>
        </is>
      </c>
      <c r="E787" s="44" t="inlineStr">
        <is>
          <t>Consumer Cyclical</t>
        </is>
      </c>
      <c r="F787" s="45" t="n">
        <v>304641024</v>
      </c>
      <c r="G787" s="44" t="inlineStr">
        <is>
          <t>nightly refresh</t>
        </is>
      </c>
      <c r="H787" s="43" t="n"/>
      <c r="I787" s="44" t="inlineStr">
        <is>
          <t>—</t>
        </is>
      </c>
      <c r="J787" s="44" t="inlineStr">
        <is>
          <t>2016-11-16</t>
        </is>
      </c>
      <c r="K787" s="43" t="n">
        <v>2473</v>
      </c>
      <c r="L787" s="44" t="inlineStr">
        <is>
          <t>2016-11-16</t>
        </is>
      </c>
      <c r="M787" s="44" t="inlineStr">
        <is>
          <t>2026-08-26</t>
        </is>
      </c>
      <c r="N787" s="43" t="n">
        <v>116</v>
      </c>
      <c r="O787" s="46" t="n">
        <v>-23.7007</v>
      </c>
      <c r="P787" s="46" t="n">
        <v>-70.65219999999999</v>
      </c>
      <c r="Q787" s="46" t="n">
        <v>68.47369999999999</v>
      </c>
      <c r="R787" s="46" t="n">
        <v>-67.4002</v>
      </c>
      <c r="S787" s="47">
        <f>IF($I787="Yes",$O787,"")</f>
        <v/>
      </c>
    </row>
    <row r="788">
      <c r="A788" s="48" t="inlineStr">
        <is>
          <t>AX1.AX</t>
        </is>
      </c>
      <c r="B788" s="49" t="inlineStr">
        <is>
          <t>Accent Group Limited</t>
        </is>
      </c>
      <c r="C788" s="49" t="inlineStr">
        <is>
          <t>AU</t>
        </is>
      </c>
      <c r="D788" s="49" t="inlineStr">
        <is>
          <t>— not an index member —</t>
        </is>
      </c>
      <c r="E788" s="49" t="inlineStr">
        <is>
          <t>Consumer Cyclical</t>
        </is>
      </c>
      <c r="F788" s="50" t="n">
        <v>438865536</v>
      </c>
      <c r="G788" s="49" t="inlineStr">
        <is>
          <t>nightly refresh</t>
        </is>
      </c>
      <c r="H788" s="48" t="n"/>
      <c r="I788" s="49" t="inlineStr">
        <is>
          <t>—</t>
        </is>
      </c>
      <c r="J788" s="49" t="inlineStr">
        <is>
          <t>2004-07-06</t>
        </is>
      </c>
      <c r="K788" s="48" t="n">
        <v>5604</v>
      </c>
      <c r="L788" s="49" t="inlineStr">
        <is>
          <t>2004-07-06</t>
        </is>
      </c>
      <c r="M788" s="49" t="inlineStr">
        <is>
          <t>2026-08-26</t>
        </is>
      </c>
      <c r="N788" s="48" t="n">
        <v>243</v>
      </c>
      <c r="O788" s="51" t="n">
        <v>-29.408</v>
      </c>
      <c r="P788" s="51" t="n">
        <v>-73.6819</v>
      </c>
      <c r="Q788" s="51" t="n">
        <v>82.1785</v>
      </c>
      <c r="R788" s="51" t="n">
        <v>-47.7715</v>
      </c>
      <c r="S788" s="52">
        <f>IF($I788="Yes",$O788,"")</f>
        <v/>
      </c>
    </row>
    <row r="789">
      <c r="A789" s="43" t="inlineStr">
        <is>
          <t>BAP.AX</t>
        </is>
      </c>
      <c r="B789" s="44" t="inlineStr">
        <is>
          <t>Bapcor Limited</t>
        </is>
      </c>
      <c r="C789" s="44" t="inlineStr">
        <is>
          <t>AU</t>
        </is>
      </c>
      <c r="D789" s="44" t="inlineStr">
        <is>
          <t>— not an index member —</t>
        </is>
      </c>
      <c r="E789" s="44" t="inlineStr">
        <is>
          <t>Consumer Cyclical</t>
        </is>
      </c>
      <c r="F789" s="45" t="n">
        <v>433925728</v>
      </c>
      <c r="G789" s="44" t="inlineStr">
        <is>
          <t>nightly refresh</t>
        </is>
      </c>
      <c r="H789" s="43" t="n"/>
      <c r="I789" s="44" t="inlineStr">
        <is>
          <t>—</t>
        </is>
      </c>
      <c r="J789" s="44" t="inlineStr">
        <is>
          <t>2014-04-24</t>
        </is>
      </c>
      <c r="K789" s="43" t="n">
        <v>3126</v>
      </c>
      <c r="L789" s="44" t="inlineStr">
        <is>
          <t>2014-04-24</t>
        </is>
      </c>
      <c r="M789" s="44" t="inlineStr">
        <is>
          <t>2026-08-26</t>
        </is>
      </c>
      <c r="N789" s="43" t="n">
        <v>161</v>
      </c>
      <c r="O789" s="46" t="n">
        <v>-20.6367</v>
      </c>
      <c r="P789" s="46" t="n">
        <v>-93.1931</v>
      </c>
      <c r="Q789" s="46" t="n">
        <v>45.4642</v>
      </c>
      <c r="R789" s="46" t="n">
        <v>-88.4354</v>
      </c>
      <c r="S789" s="47">
        <f>IF($I789="Yes",$O789,"")</f>
        <v/>
      </c>
    </row>
    <row r="790">
      <c r="A790" s="48" t="inlineStr">
        <is>
          <t>BWA</t>
        </is>
      </c>
      <c r="B790" s="49" t="inlineStr">
        <is>
          <t>BorgWarner Inc.</t>
        </is>
      </c>
      <c r="C790" s="49" t="inlineStr">
        <is>
          <t>US</t>
        </is>
      </c>
      <c r="D790" s="49" t="inlineStr">
        <is>
          <t>— not an index member —</t>
        </is>
      </c>
      <c r="E790" s="49" t="inlineStr">
        <is>
          <t>Consumer Cyclical</t>
        </is>
      </c>
      <c r="F790" s="50" t="n">
        <v>13175177216</v>
      </c>
      <c r="G790" s="49" t="inlineStr">
        <is>
          <t>nightly refresh</t>
        </is>
      </c>
      <c r="H790" s="48" t="n"/>
      <c r="I790" s="49" t="inlineStr">
        <is>
          <t>—</t>
        </is>
      </c>
      <c r="J790" s="49" t="inlineStr">
        <is>
          <t>1993-08-13</t>
        </is>
      </c>
      <c r="K790" s="48" t="n">
        <v>6701</v>
      </c>
      <c r="L790" s="49" t="inlineStr">
        <is>
          <t>2000-01-03</t>
        </is>
      </c>
      <c r="M790" s="49" t="inlineStr">
        <is>
          <t>2026-08-25</t>
        </is>
      </c>
      <c r="N790" s="48" t="n">
        <v>374</v>
      </c>
      <c r="O790" s="51" t="n">
        <v>-20.8693</v>
      </c>
      <c r="P790" s="51" t="n">
        <v>-72.5046</v>
      </c>
      <c r="Q790" s="51" t="n">
        <v>54.8056</v>
      </c>
      <c r="R790" s="51" t="n">
        <v>-17.4068</v>
      </c>
      <c r="S790" s="52">
        <f>IF($I790="Yes",$O790,"")</f>
        <v/>
      </c>
    </row>
    <row r="791">
      <c r="A791" s="43" t="inlineStr">
        <is>
          <t>CCX.AX</t>
        </is>
      </c>
      <c r="B791" s="44" t="inlineStr">
        <is>
          <t>City Chic Collective Limited</t>
        </is>
      </c>
      <c r="C791" s="44" t="inlineStr">
        <is>
          <t>AU</t>
        </is>
      </c>
      <c r="D791" s="44" t="inlineStr">
        <is>
          <t>— not an index member —</t>
        </is>
      </c>
      <c r="E791" s="44" t="inlineStr">
        <is>
          <t>Consumer Cyclical</t>
        </is>
      </c>
      <c r="F791" s="45" t="n">
        <v>20413362</v>
      </c>
      <c r="G791" s="44" t="inlineStr">
        <is>
          <t>nightly refresh</t>
        </is>
      </c>
      <c r="H791" s="43" t="n"/>
      <c r="I791" s="44" t="inlineStr">
        <is>
          <t>—</t>
        </is>
      </c>
      <c r="J791" s="44" t="inlineStr">
        <is>
          <t>1998-05-29</t>
        </is>
      </c>
      <c r="K791" s="43" t="n">
        <v>6519</v>
      </c>
      <c r="L791" s="44" t="inlineStr">
        <is>
          <t>2001-01-02</t>
        </is>
      </c>
      <c r="M791" s="44" t="inlineStr">
        <is>
          <t>2026-08-26</t>
        </is>
      </c>
      <c r="N791" s="43" t="n">
        <v>284</v>
      </c>
      <c r="O791" s="46" t="n">
        <v>-35.5791</v>
      </c>
      <c r="P791" s="46" t="n">
        <v>-92.7936</v>
      </c>
      <c r="Q791" s="46" t="n">
        <v>132.7872</v>
      </c>
      <c r="R791" s="46" t="n">
        <v>-69.67740000000001</v>
      </c>
      <c r="S791" s="47">
        <f>IF($I791="Yes",$O791,"")</f>
        <v/>
      </c>
    </row>
    <row r="792">
      <c r="A792" s="48" t="inlineStr">
        <is>
          <t>CKF.AX</t>
        </is>
      </c>
      <c r="B792" s="49" t="inlineStr">
        <is>
          <t>Collins Foods Limited</t>
        </is>
      </c>
      <c r="C792" s="49" t="inlineStr">
        <is>
          <t>AU</t>
        </is>
      </c>
      <c r="D792" s="49" t="inlineStr">
        <is>
          <t>— not an index member —</t>
        </is>
      </c>
      <c r="E792" s="49" t="inlineStr">
        <is>
          <t>Consumer Cyclical</t>
        </is>
      </c>
      <c r="F792" s="50" t="n">
        <v>974766784</v>
      </c>
      <c r="G792" s="49" t="inlineStr">
        <is>
          <t>nightly refresh</t>
        </is>
      </c>
      <c r="H792" s="48" t="n"/>
      <c r="I792" s="49" t="inlineStr">
        <is>
          <t>—</t>
        </is>
      </c>
      <c r="J792" s="49" t="inlineStr">
        <is>
          <t>2011-08-04</t>
        </is>
      </c>
      <c r="K792" s="48" t="n">
        <v>3812</v>
      </c>
      <c r="L792" s="49" t="inlineStr">
        <is>
          <t>2011-08-04</t>
        </is>
      </c>
      <c r="M792" s="49" t="inlineStr">
        <is>
          <t>2026-08-26</t>
        </is>
      </c>
      <c r="N792" s="48" t="n">
        <v>198</v>
      </c>
      <c r="O792" s="51" t="n">
        <v>-19.5771</v>
      </c>
      <c r="P792" s="51" t="n">
        <v>-59.614</v>
      </c>
      <c r="Q792" s="51" t="n">
        <v>57.1807</v>
      </c>
      <c r="R792" s="51" t="n">
        <v>-34.1461</v>
      </c>
      <c r="S792" s="52">
        <f>IF($I792="Yes",$O792,"")</f>
        <v/>
      </c>
    </row>
    <row r="793">
      <c r="A793" s="43" t="inlineStr">
        <is>
          <t>CZR</t>
        </is>
      </c>
      <c r="B793" s="44" t="inlineStr">
        <is>
          <t>Caesars Entertainment, Inc.</t>
        </is>
      </c>
      <c r="C793" s="44" t="inlineStr">
        <is>
          <t>US</t>
        </is>
      </c>
      <c r="D793" s="44" t="inlineStr">
        <is>
          <t>— not an index member —</t>
        </is>
      </c>
      <c r="E793" s="44" t="inlineStr">
        <is>
          <t>Consumer Cyclical</t>
        </is>
      </c>
      <c r="F793" s="45" t="n">
        <v>6044036608</v>
      </c>
      <c r="G793" s="44" t="inlineStr">
        <is>
          <t>nightly refresh</t>
        </is>
      </c>
      <c r="H793" s="43" t="n"/>
      <c r="I793" s="44" t="inlineStr">
        <is>
          <t>—</t>
        </is>
      </c>
      <c r="J793" s="44" t="inlineStr">
        <is>
          <t>2014-09-22</t>
        </is>
      </c>
      <c r="K793" s="43" t="n">
        <v>2999</v>
      </c>
      <c r="L793" s="44" t="inlineStr">
        <is>
          <t>2014-09-22</t>
        </is>
      </c>
      <c r="M793" s="44" t="inlineStr">
        <is>
          <t>2026-08-25</t>
        </is>
      </c>
      <c r="N793" s="43" t="n">
        <v>178</v>
      </c>
      <c r="O793" s="46" t="n">
        <v>-26.6039</v>
      </c>
      <c r="P793" s="46" t="n">
        <v>-89.9632</v>
      </c>
      <c r="Q793" s="46" t="n">
        <v>139.132</v>
      </c>
      <c r="R793" s="46" t="n">
        <v>-3.9508</v>
      </c>
      <c r="S793" s="47">
        <f>IF($I793="Yes",$O793,"")</f>
        <v/>
      </c>
    </row>
    <row r="794">
      <c r="A794" s="48" t="inlineStr">
        <is>
          <t>ETSY</t>
        </is>
      </c>
      <c r="B794" s="49" t="inlineStr">
        <is>
          <t>Etsy, Inc.</t>
        </is>
      </c>
      <c r="C794" s="49" t="inlineStr">
        <is>
          <t>US</t>
        </is>
      </c>
      <c r="D794" s="49" t="inlineStr">
        <is>
          <t>— not an index member —</t>
        </is>
      </c>
      <c r="E794" s="49" t="inlineStr">
        <is>
          <t>Consumer Cyclical</t>
        </is>
      </c>
      <c r="F794" s="50" t="n">
        <v>7502239744</v>
      </c>
      <c r="G794" s="49" t="inlineStr">
        <is>
          <t>nightly refresh</t>
        </is>
      </c>
      <c r="H794" s="48" t="n"/>
      <c r="I794" s="49" t="inlineStr">
        <is>
          <t>—</t>
        </is>
      </c>
      <c r="J794" s="49" t="inlineStr">
        <is>
          <t>2015-04-16</t>
        </is>
      </c>
      <c r="K794" s="48" t="n">
        <v>2857</v>
      </c>
      <c r="L794" s="49" t="inlineStr">
        <is>
          <t>2015-04-16</t>
        </is>
      </c>
      <c r="M794" s="49" t="inlineStr">
        <is>
          <t>2026-08-25</t>
        </is>
      </c>
      <c r="N794" s="48" t="n">
        <v>173</v>
      </c>
      <c r="O794" s="51" t="n">
        <v>-34.4312</v>
      </c>
      <c r="P794" s="51" t="n">
        <v>-82.20480000000001</v>
      </c>
      <c r="Q794" s="51" t="n">
        <v>109.0493</v>
      </c>
      <c r="R794" s="51" t="n">
        <v>-4.0285</v>
      </c>
      <c r="S794" s="52">
        <f>IF($I794="Yes",$O794,"")</f>
        <v/>
      </c>
    </row>
    <row r="795">
      <c r="A795" s="43" t="inlineStr">
        <is>
          <t>GYG.AX</t>
        </is>
      </c>
      <c r="B795" s="44" t="inlineStr">
        <is>
          <t>Guzman y Gomez Limited</t>
        </is>
      </c>
      <c r="C795" s="44" t="inlineStr">
        <is>
          <t>AU</t>
        </is>
      </c>
      <c r="D795" s="44" t="inlineStr">
        <is>
          <t>— not an index member —</t>
        </is>
      </c>
      <c r="E795" s="44" t="inlineStr">
        <is>
          <t>Consumer Cyclical</t>
        </is>
      </c>
      <c r="F795" s="45" t="n">
        <v>2928751616</v>
      </c>
      <c r="G795" s="44" t="inlineStr">
        <is>
          <t>nightly refresh</t>
        </is>
      </c>
      <c r="H795" s="43" t="n"/>
      <c r="I795" s="44" t="inlineStr">
        <is>
          <t>—</t>
        </is>
      </c>
      <c r="J795" s="44" t="inlineStr">
        <is>
          <t>2024-06-20</t>
        </is>
      </c>
      <c r="K795" s="43" t="n">
        <v>555</v>
      </c>
      <c r="L795" s="44" t="inlineStr">
        <is>
          <t>2024-06-20</t>
        </is>
      </c>
      <c r="M795" s="44" t="inlineStr">
        <is>
          <t>2026-08-26</t>
        </is>
      </c>
      <c r="N795" s="43" t="n">
        <v>39</v>
      </c>
      <c r="O795" s="46" t="n">
        <v>-32.9675</v>
      </c>
      <c r="P795" s="46" t="n">
        <v>-58.217</v>
      </c>
      <c r="Q795" s="46" t="n">
        <v>40.9842</v>
      </c>
      <c r="R795" s="46" t="n">
        <v>-14.4606</v>
      </c>
      <c r="S795" s="47">
        <f>IF($I795="Yes",$O795,"")</f>
        <v/>
      </c>
    </row>
    <row r="796">
      <c r="A796" s="48" t="inlineStr">
        <is>
          <t>KMX</t>
        </is>
      </c>
      <c r="B796" s="49" t="inlineStr">
        <is>
          <t>CarMax, Inc.</t>
        </is>
      </c>
      <c r="C796" s="49" t="inlineStr">
        <is>
          <t>US</t>
        </is>
      </c>
      <c r="D796" s="49" t="inlineStr">
        <is>
          <t>— not an index member —</t>
        </is>
      </c>
      <c r="E796" s="49" t="inlineStr">
        <is>
          <t>Consumer Cyclical</t>
        </is>
      </c>
      <c r="F796" s="50" t="n"/>
      <c r="G796" s="49" t="inlineStr">
        <is>
          <t>nightly refresh</t>
        </is>
      </c>
      <c r="H796" s="48" t="n"/>
      <c r="I796" s="49" t="inlineStr">
        <is>
          <t>—</t>
        </is>
      </c>
      <c r="J796" s="49" t="inlineStr">
        <is>
          <t>1997-02-04</t>
        </is>
      </c>
      <c r="K796" s="48" t="n">
        <v>6701</v>
      </c>
      <c r="L796" s="49" t="inlineStr">
        <is>
          <t>2000-01-03</t>
        </is>
      </c>
      <c r="M796" s="49" t="inlineStr">
        <is>
          <t>2026-08-25</t>
        </is>
      </c>
      <c r="N796" s="48" t="n">
        <v>372</v>
      </c>
      <c r="O796" s="51" t="n">
        <v>-25.0213</v>
      </c>
      <c r="P796" s="51" t="n">
        <v>-73.95480000000001</v>
      </c>
      <c r="Q796" s="51" t="n">
        <v>81.712</v>
      </c>
      <c r="R796" s="51" t="n">
        <v>-0.5728</v>
      </c>
      <c r="S796" s="52">
        <f>IF($I796="Yes",$O796,"")</f>
        <v/>
      </c>
    </row>
    <row r="797">
      <c r="A797" s="43" t="inlineStr">
        <is>
          <t>LKQ</t>
        </is>
      </c>
      <c r="B797" s="44" t="inlineStr">
        <is>
          <t>LKQ Corporation</t>
        </is>
      </c>
      <c r="C797" s="44" t="inlineStr">
        <is>
          <t>US</t>
        </is>
      </c>
      <c r="D797" s="44" t="inlineStr">
        <is>
          <t>— not an index member —</t>
        </is>
      </c>
      <c r="E797" s="44" t="inlineStr">
        <is>
          <t>Consumer Cyclical</t>
        </is>
      </c>
      <c r="F797" s="45" t="n">
        <v>6514803712</v>
      </c>
      <c r="G797" s="44" t="inlineStr">
        <is>
          <t>nightly refresh</t>
        </is>
      </c>
      <c r="H797" s="43" t="n"/>
      <c r="I797" s="44" t="inlineStr">
        <is>
          <t>—</t>
        </is>
      </c>
      <c r="J797" s="44" t="inlineStr">
        <is>
          <t>2003-10-06</t>
        </is>
      </c>
      <c r="K797" s="43" t="n">
        <v>5758</v>
      </c>
      <c r="L797" s="44" t="inlineStr">
        <is>
          <t>2003-10-06</t>
        </is>
      </c>
      <c r="M797" s="44" t="inlineStr">
        <is>
          <t>2026-08-25</t>
        </is>
      </c>
      <c r="N797" s="43" t="n">
        <v>337</v>
      </c>
      <c r="O797" s="46" t="n">
        <v>-18.486</v>
      </c>
      <c r="P797" s="46" t="n">
        <v>-64.48</v>
      </c>
      <c r="Q797" s="46" t="n">
        <v>52.756</v>
      </c>
      <c r="R797" s="46" t="n">
        <v>-30.1939</v>
      </c>
      <c r="S797" s="47">
        <f>IF($I797="Yes",$O797,"")</f>
        <v/>
      </c>
    </row>
    <row r="798">
      <c r="A798" s="48" t="inlineStr">
        <is>
          <t>MHK</t>
        </is>
      </c>
      <c r="B798" s="49" t="inlineStr">
        <is>
          <t>Mohawk Industries, Inc.</t>
        </is>
      </c>
      <c r="C798" s="49" t="inlineStr">
        <is>
          <t>US</t>
        </is>
      </c>
      <c r="D798" s="49" t="inlineStr">
        <is>
          <t>— not an index member —</t>
        </is>
      </c>
      <c r="E798" s="49" t="inlineStr">
        <is>
          <t>Consumer Cyclical</t>
        </is>
      </c>
      <c r="F798" s="50" t="n">
        <v>8952950784</v>
      </c>
      <c r="G798" s="49" t="inlineStr">
        <is>
          <t>nightly refresh</t>
        </is>
      </c>
      <c r="H798" s="48" t="n"/>
      <c r="I798" s="49" t="inlineStr">
        <is>
          <t>—</t>
        </is>
      </c>
      <c r="J798" s="49" t="inlineStr">
        <is>
          <t>1992-04-01</t>
        </is>
      </c>
      <c r="K798" s="48" t="n">
        <v>6701</v>
      </c>
      <c r="L798" s="49" t="inlineStr">
        <is>
          <t>2000-01-03</t>
        </is>
      </c>
      <c r="M798" s="49" t="inlineStr">
        <is>
          <t>2026-08-25</t>
        </is>
      </c>
      <c r="N798" s="48" t="n">
        <v>369</v>
      </c>
      <c r="O798" s="51" t="n">
        <v>-23.0167</v>
      </c>
      <c r="P798" s="51" t="n">
        <v>-78.6897</v>
      </c>
      <c r="Q798" s="51" t="n">
        <v>55.0584</v>
      </c>
      <c r="R798" s="51" t="n">
        <v>-6.5395</v>
      </c>
      <c r="S798" s="52">
        <f>IF($I798="Yes",$O798,"")</f>
        <v/>
      </c>
    </row>
    <row r="799">
      <c r="A799" s="43" t="inlineStr">
        <is>
          <t>SIG</t>
        </is>
      </c>
      <c r="B799" s="44" t="inlineStr">
        <is>
          <t>Signet Jewelers Limited</t>
        </is>
      </c>
      <c r="C799" s="44" t="inlineStr">
        <is>
          <t>US</t>
        </is>
      </c>
      <c r="D799" s="44" t="inlineStr">
        <is>
          <t>— not an index member —</t>
        </is>
      </c>
      <c r="E799" s="44" t="inlineStr">
        <is>
          <t>Consumer Cyclical</t>
        </is>
      </c>
      <c r="F799" s="45" t="n"/>
      <c r="G799" s="44" t="inlineStr">
        <is>
          <t>nightly refresh</t>
        </is>
      </c>
      <c r="H799" s="43" t="n"/>
      <c r="I799" s="44" t="inlineStr">
        <is>
          <t>—</t>
        </is>
      </c>
      <c r="J799" s="44" t="inlineStr">
        <is>
          <t>1988-07-14</t>
        </is>
      </c>
      <c r="K799" s="43" t="n">
        <v>6701</v>
      </c>
      <c r="L799" s="44" t="inlineStr">
        <is>
          <t>2000-01-03</t>
        </is>
      </c>
      <c r="M799" s="44" t="inlineStr">
        <is>
          <t>2026-08-25</t>
        </is>
      </c>
      <c r="N799" s="43" t="n">
        <v>376</v>
      </c>
      <c r="O799" s="46" t="n">
        <v>-27.7068</v>
      </c>
      <c r="P799" s="46" t="n">
        <v>-83.3798</v>
      </c>
      <c r="Q799" s="46" t="n">
        <v>84.5729</v>
      </c>
      <c r="R799" s="46" t="n">
        <v>-22.9308</v>
      </c>
      <c r="S799" s="47">
        <f>IF($I799="Yes",$O799,"")</f>
        <v/>
      </c>
    </row>
    <row r="800">
      <c r="A800" s="48" t="inlineStr">
        <is>
          <t>SKC.AX</t>
        </is>
      </c>
      <c r="B800" s="49" t="inlineStr">
        <is>
          <t>SkyCity Entertainment Group Limited</t>
        </is>
      </c>
      <c r="C800" s="49" t="inlineStr">
        <is>
          <t>AU</t>
        </is>
      </c>
      <c r="D800" s="49" t="inlineStr">
        <is>
          <t>— not an index member —</t>
        </is>
      </c>
      <c r="E800" s="49" t="inlineStr">
        <is>
          <t>Consumer Cyclical</t>
        </is>
      </c>
      <c r="F800" s="50" t="n">
        <v>617710848</v>
      </c>
      <c r="G800" s="49" t="inlineStr">
        <is>
          <t>nightly refresh</t>
        </is>
      </c>
      <c r="H800" s="48" t="n"/>
      <c r="I800" s="49" t="inlineStr">
        <is>
          <t>—</t>
        </is>
      </c>
      <c r="J800" s="49" t="inlineStr">
        <is>
          <t>1999-05-07</t>
        </is>
      </c>
      <c r="K800" s="48" t="n">
        <v>6780</v>
      </c>
      <c r="L800" s="49" t="inlineStr">
        <is>
          <t>2000-01-03</t>
        </is>
      </c>
      <c r="M800" s="49" t="inlineStr">
        <is>
          <t>2026-08-26</t>
        </is>
      </c>
      <c r="N800" s="48" t="n">
        <v>295</v>
      </c>
      <c r="O800" s="51" t="n">
        <v>-20.1426</v>
      </c>
      <c r="P800" s="51" t="n">
        <v>-68.30800000000001</v>
      </c>
      <c r="Q800" s="51" t="n">
        <v>32.5918</v>
      </c>
      <c r="R800" s="51" t="n">
        <v>-32.7536</v>
      </c>
      <c r="S800" s="52">
        <f>IF($I800="Yes",$O800,"")</f>
        <v/>
      </c>
    </row>
    <row r="801">
      <c r="A801" s="43" t="inlineStr">
        <is>
          <t>TPW.AX</t>
        </is>
      </c>
      <c r="B801" s="44" t="inlineStr">
        <is>
          <t>Temple &amp; Webster Group Ltd</t>
        </is>
      </c>
      <c r="C801" s="44" t="inlineStr">
        <is>
          <t>AU</t>
        </is>
      </c>
      <c r="D801" s="44" t="inlineStr">
        <is>
          <t>— not an index member —</t>
        </is>
      </c>
      <c r="E801" s="44" t="inlineStr">
        <is>
          <t>Consumer Cyclical</t>
        </is>
      </c>
      <c r="F801" s="45" t="n">
        <v>538445888</v>
      </c>
      <c r="G801" s="44" t="inlineStr">
        <is>
          <t>nightly refresh</t>
        </is>
      </c>
      <c r="H801" s="43" t="n"/>
      <c r="I801" s="44" t="inlineStr">
        <is>
          <t>—</t>
        </is>
      </c>
      <c r="J801" s="44" t="inlineStr">
        <is>
          <t>2015-12-10</t>
        </is>
      </c>
      <c r="K801" s="43" t="n">
        <v>2710</v>
      </c>
      <c r="L801" s="44" t="inlineStr">
        <is>
          <t>2015-12-10</t>
        </is>
      </c>
      <c r="M801" s="44" t="inlineStr">
        <is>
          <t>2026-08-26</t>
        </is>
      </c>
      <c r="N801" s="43" t="n">
        <v>132</v>
      </c>
      <c r="O801" s="46" t="n">
        <v>-35.0098</v>
      </c>
      <c r="P801" s="46" t="n">
        <v>-87.6289</v>
      </c>
      <c r="Q801" s="46" t="n">
        <v>157.9481</v>
      </c>
      <c r="R801" s="46" t="n">
        <v>-81.17919999999999</v>
      </c>
      <c r="S801" s="47">
        <f>IF($I801="Yes",$O801,"")</f>
        <v/>
      </c>
    </row>
    <row r="802">
      <c r="A802" s="48" t="inlineStr">
        <is>
          <t>UNI.AX</t>
        </is>
      </c>
      <c r="B802" s="49" t="inlineStr">
        <is>
          <t>Universal Store Holdings Limited</t>
        </is>
      </c>
      <c r="C802" s="49" t="inlineStr">
        <is>
          <t>AU</t>
        </is>
      </c>
      <c r="D802" s="49" t="inlineStr">
        <is>
          <t>— not an index member —</t>
        </is>
      </c>
      <c r="E802" s="49" t="inlineStr">
        <is>
          <t>Consumer Cyclical</t>
        </is>
      </c>
      <c r="F802" s="50" t="n">
        <v>638317120</v>
      </c>
      <c r="G802" s="49" t="inlineStr">
        <is>
          <t>nightly refresh</t>
        </is>
      </c>
      <c r="H802" s="48" t="n"/>
      <c r="I802" s="49" t="inlineStr">
        <is>
          <t>—</t>
        </is>
      </c>
      <c r="J802" s="49" t="inlineStr">
        <is>
          <t>2020-11-17</t>
        </is>
      </c>
      <c r="K802" s="48" t="n">
        <v>1460</v>
      </c>
      <c r="L802" s="49" t="inlineStr">
        <is>
          <t>2020-11-17</t>
        </is>
      </c>
      <c r="M802" s="49" t="inlineStr">
        <is>
          <t>2026-08-26</t>
        </is>
      </c>
      <c r="N802" s="48" t="n">
        <v>73</v>
      </c>
      <c r="O802" s="51" t="n">
        <v>-23.8471</v>
      </c>
      <c r="P802" s="51" t="n">
        <v>-59.903</v>
      </c>
      <c r="Q802" s="51" t="n">
        <v>71.5635</v>
      </c>
      <c r="R802" s="51" t="n">
        <v>-15.3061</v>
      </c>
      <c r="S802" s="52">
        <f>IF($I802="Yes",$O802,"")</f>
        <v/>
      </c>
    </row>
    <row r="803">
      <c r="A803" s="43" t="inlineStr">
        <is>
          <t>WEB.AX</t>
        </is>
      </c>
      <c r="B803" s="44" t="inlineStr">
        <is>
          <t>Web Travel Group Limited</t>
        </is>
      </c>
      <c r="C803" s="44" t="inlineStr">
        <is>
          <t>AU</t>
        </is>
      </c>
      <c r="D803" s="44" t="inlineStr">
        <is>
          <t>— not an index member —</t>
        </is>
      </c>
      <c r="E803" s="44" t="inlineStr">
        <is>
          <t>Consumer Cyclical</t>
        </is>
      </c>
      <c r="F803" s="45" t="n">
        <v>1390030592</v>
      </c>
      <c r="G803" s="44" t="inlineStr">
        <is>
          <t>nightly refresh</t>
        </is>
      </c>
      <c r="H803" s="43" t="n"/>
      <c r="I803" s="44" t="inlineStr">
        <is>
          <t>—</t>
        </is>
      </c>
      <c r="J803" s="44" t="inlineStr">
        <is>
          <t>1997-12-31</t>
        </is>
      </c>
      <c r="K803" s="43" t="n">
        <v>6780</v>
      </c>
      <c r="L803" s="44" t="inlineStr">
        <is>
          <t>2000-01-03</t>
        </is>
      </c>
      <c r="M803" s="44" t="inlineStr">
        <is>
          <t>2026-08-26</t>
        </is>
      </c>
      <c r="N803" s="43" t="n">
        <v>295</v>
      </c>
      <c r="O803" s="46" t="n">
        <v>-31.8927</v>
      </c>
      <c r="P803" s="46" t="n">
        <v>-86.2501</v>
      </c>
      <c r="Q803" s="46" t="n">
        <v>90.6134</v>
      </c>
      <c r="R803" s="46" t="n">
        <v>-26.9841</v>
      </c>
      <c r="S803" s="47">
        <f>IF($I803="Yes",$O803,"")</f>
        <v/>
      </c>
    </row>
    <row r="804">
      <c r="A804" s="48" t="inlineStr">
        <is>
          <t>BR.TO</t>
        </is>
      </c>
      <c r="B804" s="49" t="inlineStr">
        <is>
          <t>Big Rock Brewery Inc.</t>
        </is>
      </c>
      <c r="C804" s="49" t="inlineStr">
        <is>
          <t>CA</t>
        </is>
      </c>
      <c r="D804" s="49" t="inlineStr">
        <is>
          <t>— not an index member —</t>
        </is>
      </c>
      <c r="E804" s="49" t="inlineStr">
        <is>
          <t>Consumer Defensive</t>
        </is>
      </c>
      <c r="F804" s="50" t="n">
        <v>15249808</v>
      </c>
      <c r="G804" s="49" t="inlineStr">
        <is>
          <t>nightly refresh</t>
        </is>
      </c>
      <c r="H804" s="48" t="n"/>
      <c r="I804" s="49" t="inlineStr">
        <is>
          <t>—</t>
        </is>
      </c>
      <c r="J804" s="49" t="inlineStr">
        <is>
          <t>1997-02-26</t>
        </is>
      </c>
      <c r="K804" s="48" t="n">
        <v>6692</v>
      </c>
      <c r="L804" s="49" t="inlineStr">
        <is>
          <t>2000-01-04</t>
        </is>
      </c>
      <c r="M804" s="49" t="inlineStr">
        <is>
          <t>2026-08-24</t>
        </is>
      </c>
      <c r="N804" s="48" t="n">
        <v>233</v>
      </c>
      <c r="O804" s="51" t="n">
        <v>-26.5277</v>
      </c>
      <c r="P804" s="51" t="n">
        <v>-80.4688</v>
      </c>
      <c r="Q804" s="51" t="n">
        <v>42.6848</v>
      </c>
      <c r="R804" s="51" t="n">
        <v>-42.5926</v>
      </c>
      <c r="S804" s="52">
        <f>IF($I804="Yes",$O804,"")</f>
        <v/>
      </c>
    </row>
    <row r="805">
      <c r="A805" s="43" t="inlineStr">
        <is>
          <t>CAG</t>
        </is>
      </c>
      <c r="B805" s="44" t="inlineStr">
        <is>
          <t>Conagra Brands, Inc.</t>
        </is>
      </c>
      <c r="C805" s="44" t="inlineStr">
        <is>
          <t>US</t>
        </is>
      </c>
      <c r="D805" s="44" t="inlineStr">
        <is>
          <t>— not an index member —</t>
        </is>
      </c>
      <c r="E805" s="44" t="inlineStr">
        <is>
          <t>Consumer Defensive</t>
        </is>
      </c>
      <c r="F805" s="45" t="n">
        <v>7747977728</v>
      </c>
      <c r="G805" s="44" t="inlineStr">
        <is>
          <t>nightly refresh</t>
        </is>
      </c>
      <c r="H805" s="43" t="n"/>
      <c r="I805" s="44" t="inlineStr">
        <is>
          <t>—</t>
        </is>
      </c>
      <c r="J805" s="44" t="inlineStr">
        <is>
          <t>1980-03-17</t>
        </is>
      </c>
      <c r="K805" s="43" t="n">
        <v>6701</v>
      </c>
      <c r="L805" s="44" t="inlineStr">
        <is>
          <t>2000-01-03</t>
        </is>
      </c>
      <c r="M805" s="44" t="inlineStr">
        <is>
          <t>2026-08-25</t>
        </is>
      </c>
      <c r="N805" s="43" t="n">
        <v>325</v>
      </c>
      <c r="O805" s="46" t="n">
        <v>-17.5715</v>
      </c>
      <c r="P805" s="46" t="n">
        <v>-46.5016</v>
      </c>
      <c r="Q805" s="46" t="n">
        <v>29.2867</v>
      </c>
      <c r="R805" s="46" t="n">
        <v>-17.9121</v>
      </c>
      <c r="S805" s="47">
        <f>IF($I805="Yes",$O805,"")</f>
        <v/>
      </c>
    </row>
    <row r="806">
      <c r="A806" s="48" t="inlineStr">
        <is>
          <t>GEM.AX</t>
        </is>
      </c>
      <c r="B806" s="49" t="inlineStr">
        <is>
          <t>G8 Education Limited</t>
        </is>
      </c>
      <c r="C806" s="49" t="inlineStr">
        <is>
          <t>AU</t>
        </is>
      </c>
      <c r="D806" s="49" t="inlineStr">
        <is>
          <t>— not an index member —</t>
        </is>
      </c>
      <c r="E806" s="49" t="inlineStr">
        <is>
          <t>Consumer Defensive</t>
        </is>
      </c>
      <c r="F806" s="50" t="n">
        <v>104160440</v>
      </c>
      <c r="G806" s="49" t="inlineStr">
        <is>
          <t>nightly refresh</t>
        </is>
      </c>
      <c r="H806" s="48" t="n"/>
      <c r="I806" s="49" t="inlineStr">
        <is>
          <t>—</t>
        </is>
      </c>
      <c r="J806" s="49" t="inlineStr">
        <is>
          <t>2007-12-05</t>
        </is>
      </c>
      <c r="K806" s="48" t="n">
        <v>4735</v>
      </c>
      <c r="L806" s="49" t="inlineStr">
        <is>
          <t>2007-12-05</t>
        </is>
      </c>
      <c r="M806" s="49" t="inlineStr">
        <is>
          <t>2026-08-26</t>
        </is>
      </c>
      <c r="N806" s="48" t="n">
        <v>198</v>
      </c>
      <c r="O806" s="51" t="n">
        <v>-28.0765</v>
      </c>
      <c r="P806" s="51" t="n">
        <v>-91.41419999999999</v>
      </c>
      <c r="Q806" s="51" t="n">
        <v>93.7375</v>
      </c>
      <c r="R806" s="51" t="n">
        <v>-83.908</v>
      </c>
      <c r="S806" s="52">
        <f>IF($I806="Yes",$O806,"")</f>
        <v/>
      </c>
    </row>
    <row r="807">
      <c r="A807" s="43" t="inlineStr">
        <is>
          <t>IEL.AX</t>
        </is>
      </c>
      <c r="B807" s="44" t="inlineStr">
        <is>
          <t>IDP Education Limited</t>
        </is>
      </c>
      <c r="C807" s="44" t="inlineStr">
        <is>
          <t>AU</t>
        </is>
      </c>
      <c r="D807" s="44" t="inlineStr">
        <is>
          <t>— not an index member —</t>
        </is>
      </c>
      <c r="E807" s="44" t="inlineStr">
        <is>
          <t>Consumer Defensive</t>
        </is>
      </c>
      <c r="F807" s="45" t="n">
        <v>499613504</v>
      </c>
      <c r="G807" s="44" t="inlineStr">
        <is>
          <t>nightly refresh</t>
        </is>
      </c>
      <c r="H807" s="43" t="n"/>
      <c r="I807" s="44" t="inlineStr">
        <is>
          <t>—</t>
        </is>
      </c>
      <c r="J807" s="44" t="inlineStr">
        <is>
          <t>2015-11-26</t>
        </is>
      </c>
      <c r="K807" s="43" t="n">
        <v>2720</v>
      </c>
      <c r="L807" s="44" t="inlineStr">
        <is>
          <t>2015-11-26</t>
        </is>
      </c>
      <c r="M807" s="44" t="inlineStr">
        <is>
          <t>2026-08-26</t>
        </is>
      </c>
      <c r="N807" s="43" t="n">
        <v>143</v>
      </c>
      <c r="O807" s="46" t="n">
        <v>-30.5078</v>
      </c>
      <c r="P807" s="46" t="n">
        <v>-79.3481</v>
      </c>
      <c r="Q807" s="46" t="n">
        <v>58.235</v>
      </c>
      <c r="R807" s="46" t="n">
        <v>-73.23350000000001</v>
      </c>
      <c r="S807" s="47">
        <f>IF($I807="Yes",$O807,"")</f>
        <v/>
      </c>
    </row>
    <row r="808">
      <c r="A808" s="48" t="inlineStr">
        <is>
          <t>LW</t>
        </is>
      </c>
      <c r="B808" s="49" t="inlineStr">
        <is>
          <t>Lamb Weston Holdings, Inc.</t>
        </is>
      </c>
      <c r="C808" s="49" t="inlineStr">
        <is>
          <t>US</t>
        </is>
      </c>
      <c r="D808" s="49" t="inlineStr">
        <is>
          <t>— not an index member —</t>
        </is>
      </c>
      <c r="E808" s="49" t="inlineStr">
        <is>
          <t>Consumer Defensive</t>
        </is>
      </c>
      <c r="F808" s="50" t="n">
        <v>7597318656</v>
      </c>
      <c r="G808" s="49" t="inlineStr">
        <is>
          <t>nightly refresh</t>
        </is>
      </c>
      <c r="H808" s="48" t="n"/>
      <c r="I808" s="49" t="inlineStr">
        <is>
          <t>—</t>
        </is>
      </c>
      <c r="J808" s="49" t="inlineStr">
        <is>
          <t>2016-11-10</t>
        </is>
      </c>
      <c r="K808" s="48" t="n">
        <v>2459</v>
      </c>
      <c r="L808" s="49" t="inlineStr">
        <is>
          <t>2016-11-10</t>
        </is>
      </c>
      <c r="M808" s="49" t="inlineStr">
        <is>
          <t>2026-08-25</t>
        </is>
      </c>
      <c r="N808" s="48" t="n">
        <v>123</v>
      </c>
      <c r="O808" s="51" t="n">
        <v>-24.9881</v>
      </c>
      <c r="P808" s="51" t="n">
        <v>-53.7772</v>
      </c>
      <c r="Q808" s="51" t="n">
        <v>48.7911</v>
      </c>
      <c r="R808" s="51" t="n">
        <v>-15.5271</v>
      </c>
      <c r="S808" s="52">
        <f>IF($I808="Yes",$O808,"")</f>
        <v/>
      </c>
    </row>
    <row r="809">
      <c r="A809" s="43" t="inlineStr">
        <is>
          <t>PBH.TO</t>
        </is>
      </c>
      <c r="B809" s="44" t="inlineStr">
        <is>
          <t>Premium Brands Holdings Corporation</t>
        </is>
      </c>
      <c r="C809" s="44" t="inlineStr">
        <is>
          <t>CA</t>
        </is>
      </c>
      <c r="D809" s="44" t="inlineStr">
        <is>
          <t>— not an index member —</t>
        </is>
      </c>
      <c r="E809" s="44" t="inlineStr">
        <is>
          <t>Consumer Defensive</t>
        </is>
      </c>
      <c r="F809" s="45" t="n"/>
      <c r="G809" s="44" t="inlineStr">
        <is>
          <t>nightly refresh</t>
        </is>
      </c>
      <c r="H809" s="43" t="n"/>
      <c r="I809" s="44" t="inlineStr">
        <is>
          <t>—</t>
        </is>
      </c>
      <c r="J809" s="44" t="inlineStr">
        <is>
          <t>2008-07-23</t>
        </is>
      </c>
      <c r="K809" s="43" t="n">
        <v>4539</v>
      </c>
      <c r="L809" s="44" t="inlineStr">
        <is>
          <t>2008-07-23</t>
        </is>
      </c>
      <c r="M809" s="44" t="inlineStr">
        <is>
          <t>2026-08-25</t>
        </is>
      </c>
      <c r="N809" s="43" t="n">
        <v>178</v>
      </c>
      <c r="O809" s="46" t="n">
        <v>-15.8237</v>
      </c>
      <c r="P809" s="46" t="n">
        <v>-43.7514</v>
      </c>
      <c r="Q809" s="46" t="n">
        <v>43.3894</v>
      </c>
      <c r="R809" s="46" t="n">
        <v>-24.6924</v>
      </c>
      <c r="S809" s="47">
        <f>IF($I809="Yes",$O809,"")</f>
        <v/>
      </c>
    </row>
    <row r="810">
      <c r="A810" s="48" t="inlineStr">
        <is>
          <t>ADD.AX</t>
        </is>
      </c>
      <c r="B810" s="49" t="inlineStr">
        <is>
          <t>Adavale Resources Limited</t>
        </is>
      </c>
      <c r="C810" s="49" t="inlineStr">
        <is>
          <t>AU</t>
        </is>
      </c>
      <c r="D810" s="49" t="inlineStr">
        <is>
          <t>— not an index member —</t>
        </is>
      </c>
      <c r="E810" s="49" t="inlineStr">
        <is>
          <t>Energy</t>
        </is>
      </c>
      <c r="F810" s="50" t="n">
        <v>15760846</v>
      </c>
      <c r="G810" s="49" t="inlineStr">
        <is>
          <t>nightly refresh</t>
        </is>
      </c>
      <c r="H810" s="48" t="n"/>
      <c r="I810" s="49" t="inlineStr">
        <is>
          <t>—</t>
        </is>
      </c>
      <c r="J810" s="49" t="inlineStr">
        <is>
          <t>1988-08-31</t>
        </is>
      </c>
      <c r="K810" s="48" t="n">
        <v>6780</v>
      </c>
      <c r="L810" s="49" t="inlineStr">
        <is>
          <t>2000-01-03</t>
        </is>
      </c>
      <c r="M810" s="49" t="inlineStr">
        <is>
          <t>2026-08-26</t>
        </is>
      </c>
      <c r="N810" s="48" t="n">
        <v>112</v>
      </c>
      <c r="O810" s="51" t="n">
        <v>-58.5418</v>
      </c>
      <c r="P810" s="51" t="n">
        <v>-92.67400000000001</v>
      </c>
      <c r="Q810" s="51" t="n">
        <v>202.283</v>
      </c>
      <c r="R810" s="51" t="n">
        <v>-42.2535</v>
      </c>
      <c r="S810" s="52">
        <f>IF($I810="Yes",$O810,"")</f>
        <v/>
      </c>
    </row>
    <row r="811">
      <c r="A811" s="43" t="inlineStr">
        <is>
          <t>ALA.TO</t>
        </is>
      </c>
      <c r="B811" s="44" t="inlineStr">
        <is>
          <t>AltaGas Ltd.</t>
        </is>
      </c>
      <c r="C811" s="44" t="inlineStr">
        <is>
          <t>CA</t>
        </is>
      </c>
      <c r="D811" s="44" t="inlineStr">
        <is>
          <t>— not an index member —</t>
        </is>
      </c>
      <c r="E811" s="44" t="inlineStr">
        <is>
          <t>Energy</t>
        </is>
      </c>
      <c r="F811" s="45" t="n">
        <v>16573735936</v>
      </c>
      <c r="G811" s="44" t="inlineStr">
        <is>
          <t>nightly refresh</t>
        </is>
      </c>
      <c r="H811" s="43" t="n"/>
      <c r="I811" s="44" t="inlineStr">
        <is>
          <t>—</t>
        </is>
      </c>
      <c r="J811" s="44" t="inlineStr">
        <is>
          <t>2004-05-17</t>
        </is>
      </c>
      <c r="K811" s="43" t="n">
        <v>5592</v>
      </c>
      <c r="L811" s="44" t="inlineStr">
        <is>
          <t>2004-05-17</t>
        </is>
      </c>
      <c r="M811" s="44" t="inlineStr">
        <is>
          <t>2026-08-25</t>
        </is>
      </c>
      <c r="N811" s="43" t="n">
        <v>251</v>
      </c>
      <c r="O811" s="46" t="n">
        <v>-17.9355</v>
      </c>
      <c r="P811" s="46" t="n">
        <v>-58.8684</v>
      </c>
      <c r="Q811" s="46" t="n">
        <v>39.6921</v>
      </c>
      <c r="R811" s="46" t="n">
        <v>-8.5883</v>
      </c>
      <c r="S811" s="47">
        <f>IF($I811="Yes",$O811,"")</f>
        <v/>
      </c>
    </row>
    <row r="812">
      <c r="A812" s="48" t="inlineStr">
        <is>
          <t>ARX.TO</t>
        </is>
      </c>
      <c r="B812" s="49" t="inlineStr">
        <is>
          <t>ARC Resources Ltd.</t>
        </is>
      </c>
      <c r="C812" s="49" t="inlineStr">
        <is>
          <t>CA</t>
        </is>
      </c>
      <c r="D812" s="49" t="inlineStr">
        <is>
          <t>— not an index member —</t>
        </is>
      </c>
      <c r="E812" s="49" t="inlineStr">
        <is>
          <t>Energy</t>
        </is>
      </c>
      <c r="F812" s="50" t="n">
        <v>18917167104</v>
      </c>
      <c r="G812" s="49" t="inlineStr">
        <is>
          <t>nightly refresh</t>
        </is>
      </c>
      <c r="H812" s="48" t="n"/>
      <c r="I812" s="49" t="inlineStr">
        <is>
          <t>—</t>
        </is>
      </c>
      <c r="J812" s="49" t="inlineStr">
        <is>
          <t>1996-08-13</t>
        </is>
      </c>
      <c r="K812" s="48" t="n">
        <v>6693</v>
      </c>
      <c r="L812" s="49" t="inlineStr">
        <is>
          <t>2000-01-04</t>
        </is>
      </c>
      <c r="M812" s="49" t="inlineStr">
        <is>
          <t>2026-08-25</t>
        </is>
      </c>
      <c r="N812" s="48" t="n">
        <v>335</v>
      </c>
      <c r="O812" s="51" t="n">
        <v>-20.562</v>
      </c>
      <c r="P812" s="51" t="n">
        <v>-69.90479999999999</v>
      </c>
      <c r="Q812" s="51" t="n">
        <v>50.4937</v>
      </c>
      <c r="R812" s="51" t="n">
        <v>-1.9579</v>
      </c>
      <c r="S812" s="52">
        <f>IF($I812="Yes",$O812,"")</f>
        <v/>
      </c>
    </row>
    <row r="813">
      <c r="A813" s="43" t="inlineStr">
        <is>
          <t>BOE.AX</t>
        </is>
      </c>
      <c r="B813" s="44" t="inlineStr">
        <is>
          <t>Boss Energy Limited</t>
        </is>
      </c>
      <c r="C813" s="44" t="inlineStr">
        <is>
          <t>AU</t>
        </is>
      </c>
      <c r="D813" s="44" t="inlineStr">
        <is>
          <t>— not an index member —</t>
        </is>
      </c>
      <c r="E813" s="44" t="inlineStr">
        <is>
          <t>Energy</t>
        </is>
      </c>
      <c r="F813" s="45" t="n">
        <v>628990592</v>
      </c>
      <c r="G813" s="44" t="inlineStr">
        <is>
          <t>nightly refresh</t>
        </is>
      </c>
      <c r="H813" s="43" t="n"/>
      <c r="I813" s="44" t="inlineStr">
        <is>
          <t>—</t>
        </is>
      </c>
      <c r="J813" s="44" t="inlineStr">
        <is>
          <t>2007-07-25</t>
        </is>
      </c>
      <c r="K813" s="43" t="n">
        <v>4830</v>
      </c>
      <c r="L813" s="44" t="inlineStr">
        <is>
          <t>2007-07-25</t>
        </is>
      </c>
      <c r="M813" s="44" t="inlineStr">
        <is>
          <t>2026-08-26</t>
        </is>
      </c>
      <c r="N813" s="43" t="n">
        <v>165</v>
      </c>
      <c r="O813" s="46" t="n">
        <v>-40.3789</v>
      </c>
      <c r="P813" s="46" t="n">
        <v>-82.5</v>
      </c>
      <c r="Q813" s="46" t="n">
        <v>133.4321</v>
      </c>
      <c r="R813" s="46" t="n">
        <v>-17.5</v>
      </c>
      <c r="S813" s="47">
        <f>IF($I813="Yes",$O813,"")</f>
        <v/>
      </c>
    </row>
    <row r="814">
      <c r="A814" s="48" t="inlineStr">
        <is>
          <t>BTE.TO</t>
        </is>
      </c>
      <c r="B814" s="49" t="inlineStr">
        <is>
          <t>Baytex Energy Corp.</t>
        </is>
      </c>
      <c r="C814" s="49" t="inlineStr">
        <is>
          <t>CA</t>
        </is>
      </c>
      <c r="D814" s="49" t="inlineStr">
        <is>
          <t>— not an index member —</t>
        </is>
      </c>
      <c r="E814" s="49" t="inlineStr">
        <is>
          <t>Energy</t>
        </is>
      </c>
      <c r="F814" s="50" t="n">
        <v>4530816000</v>
      </c>
      <c r="G814" s="49" t="inlineStr">
        <is>
          <t>nightly refresh</t>
        </is>
      </c>
      <c r="H814" s="48" t="n"/>
      <c r="I814" s="49" t="inlineStr">
        <is>
          <t>—</t>
        </is>
      </c>
      <c r="J814" s="49" t="inlineStr">
        <is>
          <t>1996-03-21</t>
        </is>
      </c>
      <c r="K814" s="48" t="n">
        <v>6693</v>
      </c>
      <c r="L814" s="49" t="inlineStr">
        <is>
          <t>2000-01-04</t>
        </is>
      </c>
      <c r="M814" s="49" t="inlineStr">
        <is>
          <t>2026-08-25</t>
        </is>
      </c>
      <c r="N814" s="48" t="n">
        <v>355</v>
      </c>
      <c r="O814" s="51" t="n">
        <v>-32.0203</v>
      </c>
      <c r="P814" s="51" t="n">
        <v>-91.9016</v>
      </c>
      <c r="Q814" s="51" t="n">
        <v>100.5627</v>
      </c>
      <c r="R814" s="51" t="n">
        <v>-13.5685</v>
      </c>
      <c r="S814" s="52">
        <f>IF($I814="Yes",$O814,"")</f>
        <v/>
      </c>
    </row>
    <row r="815">
      <c r="A815" s="43" t="inlineStr">
        <is>
          <t>CTRA</t>
        </is>
      </c>
      <c r="B815" s="44" t="inlineStr">
        <is>
          <t>Coterra Energy Inc.</t>
        </is>
      </c>
      <c r="C815" s="44" t="inlineStr">
        <is>
          <t>US</t>
        </is>
      </c>
      <c r="D815" s="44" t="inlineStr">
        <is>
          <t>— not an index member —</t>
        </is>
      </c>
      <c r="E815" s="44" t="inlineStr">
        <is>
          <t>Energy</t>
        </is>
      </c>
      <c r="F815" s="45" t="n">
        <v>24724652032</v>
      </c>
      <c r="G815" s="44" t="inlineStr">
        <is>
          <t>nightly refresh</t>
        </is>
      </c>
      <c r="H815" s="43" t="n"/>
      <c r="I815" s="44" t="inlineStr">
        <is>
          <t>—</t>
        </is>
      </c>
      <c r="J815" s="44" t="inlineStr">
        <is>
          <t>1990-02-08</t>
        </is>
      </c>
      <c r="K815" s="43" t="n">
        <v>6626</v>
      </c>
      <c r="L815" s="44" t="inlineStr">
        <is>
          <t>2000-01-03</t>
        </is>
      </c>
      <c r="M815" s="44" t="inlineStr">
        <is>
          <t>2026-05-07</t>
        </is>
      </c>
      <c r="N815" s="43" t="n">
        <v>388</v>
      </c>
      <c r="O815" s="46" t="n">
        <v>-21.5586</v>
      </c>
      <c r="P815" s="46" t="n">
        <v>-75.0488</v>
      </c>
      <c r="Q815" s="46" t="n">
        <v>53.9246</v>
      </c>
      <c r="R815" s="46" t="n">
        <v>-11.7137</v>
      </c>
      <c r="S815" s="47">
        <f>IF($I815="Yes",$O815,"")</f>
        <v/>
      </c>
    </row>
    <row r="816">
      <c r="A816" s="48" t="inlineStr">
        <is>
          <t>NXE.TO</t>
        </is>
      </c>
      <c r="B816" s="49" t="inlineStr">
        <is>
          <t>NexGen Energy Ltd.</t>
        </is>
      </c>
      <c r="C816" s="49" t="inlineStr">
        <is>
          <t>CA</t>
        </is>
      </c>
      <c r="D816" s="49" t="inlineStr">
        <is>
          <t>— not an index member —</t>
        </is>
      </c>
      <c r="E816" s="49" t="inlineStr">
        <is>
          <t>Energy</t>
        </is>
      </c>
      <c r="F816" s="50" t="n">
        <v>10312384512</v>
      </c>
      <c r="G816" s="49" t="inlineStr">
        <is>
          <t>nightly refresh</t>
        </is>
      </c>
      <c r="H816" s="48" t="n"/>
      <c r="I816" s="49" t="inlineStr">
        <is>
          <t>—</t>
        </is>
      </c>
      <c r="J816" s="49" t="inlineStr">
        <is>
          <t>2014-07-02</t>
        </is>
      </c>
      <c r="K816" s="48" t="n">
        <v>3049</v>
      </c>
      <c r="L816" s="49" t="inlineStr">
        <is>
          <t>2014-07-02</t>
        </is>
      </c>
      <c r="M816" s="49" t="inlineStr">
        <is>
          <t>2026-08-25</t>
        </is>
      </c>
      <c r="N816" s="48" t="n">
        <v>176</v>
      </c>
      <c r="O816" s="51" t="n">
        <v>-27.7884</v>
      </c>
      <c r="P816" s="51" t="n">
        <v>-67.34690000000001</v>
      </c>
      <c r="Q816" s="51" t="n">
        <v>125.8024</v>
      </c>
      <c r="R816" s="51" t="n">
        <v>-18.0857</v>
      </c>
      <c r="S816" s="52">
        <f>IF($I816="Yes",$O816,"")</f>
        <v/>
      </c>
    </row>
    <row r="817">
      <c r="A817" s="43" t="inlineStr">
        <is>
          <t>AEF.AX</t>
        </is>
      </c>
      <c r="B817" s="44" t="inlineStr">
        <is>
          <t>Australian Ethical Investment Limited</t>
        </is>
      </c>
      <c r="C817" s="44" t="inlineStr">
        <is>
          <t>AU</t>
        </is>
      </c>
      <c r="D817" s="44" t="inlineStr">
        <is>
          <t>— not an index member —</t>
        </is>
      </c>
      <c r="E817" s="44" t="inlineStr">
        <is>
          <t>Financial Services</t>
        </is>
      </c>
      <c r="F817" s="45" t="n">
        <v>542969472</v>
      </c>
      <c r="G817" s="44" t="inlineStr">
        <is>
          <t>nightly refresh</t>
        </is>
      </c>
      <c r="H817" s="43" t="n"/>
      <c r="I817" s="44" t="inlineStr">
        <is>
          <t>—</t>
        </is>
      </c>
      <c r="J817" s="44" t="inlineStr">
        <is>
          <t>2002-12-16</t>
        </is>
      </c>
      <c r="K817" s="43" t="n">
        <v>6010</v>
      </c>
      <c r="L817" s="44" t="inlineStr">
        <is>
          <t>2002-12-16</t>
        </is>
      </c>
      <c r="M817" s="44" t="inlineStr">
        <is>
          <t>2026-08-26</t>
        </is>
      </c>
      <c r="N817" s="43" t="n">
        <v>169</v>
      </c>
      <c r="O817" s="46" t="n">
        <v>-28.5504</v>
      </c>
      <c r="P817" s="46" t="n">
        <v>-71.9939</v>
      </c>
      <c r="Q817" s="46" t="n">
        <v>84.19840000000001</v>
      </c>
      <c r="R817" s="46" t="n">
        <v>-34.8437</v>
      </c>
      <c r="S817" s="47">
        <f>IF($I817="Yes",$O817,"")</f>
        <v/>
      </c>
    </row>
    <row r="818">
      <c r="A818" s="48" t="inlineStr">
        <is>
          <t>AFG.AX</t>
        </is>
      </c>
      <c r="B818" s="49" t="inlineStr">
        <is>
          <t>Australian Finance Group Limited</t>
        </is>
      </c>
      <c r="C818" s="49" t="inlineStr">
        <is>
          <t>AU</t>
        </is>
      </c>
      <c r="D818" s="49" t="inlineStr">
        <is>
          <t>— not an index member —</t>
        </is>
      </c>
      <c r="E818" s="49" t="inlineStr">
        <is>
          <t>Financial Services</t>
        </is>
      </c>
      <c r="F818" s="50" t="n">
        <v>430463840</v>
      </c>
      <c r="G818" s="49" t="inlineStr">
        <is>
          <t>nightly refresh</t>
        </is>
      </c>
      <c r="H818" s="48" t="n"/>
      <c r="I818" s="49" t="inlineStr">
        <is>
          <t>—</t>
        </is>
      </c>
      <c r="J818" s="49" t="inlineStr">
        <is>
          <t>2015-05-22</t>
        </is>
      </c>
      <c r="K818" s="48" t="n">
        <v>2853</v>
      </c>
      <c r="L818" s="49" t="inlineStr">
        <is>
          <t>2015-05-22</t>
        </is>
      </c>
      <c r="M818" s="49" t="inlineStr">
        <is>
          <t>2026-08-26</t>
        </is>
      </c>
      <c r="N818" s="48" t="n">
        <v>135</v>
      </c>
      <c r="O818" s="51" t="n">
        <v>-22.1999</v>
      </c>
      <c r="P818" s="51" t="n">
        <v>-69.535</v>
      </c>
      <c r="Q818" s="51" t="n">
        <v>69.2413</v>
      </c>
      <c r="R818" s="51" t="n">
        <v>-42.281</v>
      </c>
      <c r="S818" s="52">
        <f>IF($I818="Yes",$O818,"")</f>
        <v/>
      </c>
    </row>
    <row r="819">
      <c r="A819" s="43" t="inlineStr">
        <is>
          <t>BK</t>
        </is>
      </c>
      <c r="B819" s="44" t="inlineStr">
        <is>
          <t>Bank of New York Mellon Corp</t>
        </is>
      </c>
      <c r="C819" s="44" t="inlineStr">
        <is>
          <t>US</t>
        </is>
      </c>
      <c r="D819" s="44" t="inlineStr">
        <is>
          <t>— not an index member —</t>
        </is>
      </c>
      <c r="E819" s="44" t="inlineStr">
        <is>
          <t>Financial Services</t>
        </is>
      </c>
      <c r="F819" s="45" t="n">
        <v>94143750144</v>
      </c>
      <c r="G819" s="44" t="inlineStr">
        <is>
          <t>nightly refresh</t>
        </is>
      </c>
      <c r="H819" s="43" t="n"/>
      <c r="I819" s="44" t="inlineStr">
        <is>
          <t>—</t>
        </is>
      </c>
      <c r="J819" s="44" t="inlineStr">
        <is>
          <t>1972-06-15</t>
        </is>
      </c>
      <c r="K819" s="43" t="n">
        <v>6666</v>
      </c>
      <c r="L819" s="44" t="inlineStr">
        <is>
          <t>2000-01-03</t>
        </is>
      </c>
      <c r="M819" s="44" t="inlineStr">
        <is>
          <t>2026-07-17</t>
        </is>
      </c>
      <c r="N819" s="43" t="n">
        <v>327</v>
      </c>
      <c r="O819" s="46" t="n">
        <v>-19.5425</v>
      </c>
      <c r="P819" s="46" t="n">
        <v>-60.7023</v>
      </c>
      <c r="Q819" s="46" t="n">
        <v>40.7386</v>
      </c>
      <c r="R819" s="46" t="n">
        <v>-1.2785</v>
      </c>
      <c r="S819" s="47">
        <f>IF($I819="Yes",$O819,"")</f>
        <v/>
      </c>
    </row>
    <row r="820">
      <c r="A820" s="48" t="inlineStr">
        <is>
          <t>CVW.AX</t>
        </is>
      </c>
      <c r="B820" s="49" t="inlineStr">
        <is>
          <t>ClearView Wealth Limited</t>
        </is>
      </c>
      <c r="C820" s="49" t="inlineStr">
        <is>
          <t>AU</t>
        </is>
      </c>
      <c r="D820" s="49" t="inlineStr">
        <is>
          <t>— not an index member —</t>
        </is>
      </c>
      <c r="E820" s="49" t="inlineStr">
        <is>
          <t>Financial Services</t>
        </is>
      </c>
      <c r="F820" s="50" t="n">
        <v>416789376</v>
      </c>
      <c r="G820" s="49" t="inlineStr">
        <is>
          <t>nightly refresh</t>
        </is>
      </c>
      <c r="H820" s="48" t="n"/>
      <c r="I820" s="49" t="inlineStr">
        <is>
          <t>—</t>
        </is>
      </c>
      <c r="J820" s="49" t="inlineStr">
        <is>
          <t>2003-12-10</t>
        </is>
      </c>
      <c r="K820" s="48" t="n">
        <v>5752</v>
      </c>
      <c r="L820" s="49" t="inlineStr">
        <is>
          <t>2003-12-10</t>
        </is>
      </c>
      <c r="M820" s="49" t="inlineStr">
        <is>
          <t>2026-08-25</t>
        </is>
      </c>
      <c r="N820" s="48" t="n">
        <v>169</v>
      </c>
      <c r="O820" s="51" t="n">
        <v>-23.576</v>
      </c>
      <c r="P820" s="51" t="n">
        <v>-77.43899999999999</v>
      </c>
      <c r="Q820" s="51" t="n">
        <v>38.7904</v>
      </c>
      <c r="R820" s="51" t="n">
        <v>0</v>
      </c>
      <c r="S820" s="52">
        <f>IF($I820="Yes",$O820,"")</f>
        <v/>
      </c>
    </row>
    <row r="821">
      <c r="A821" s="43" t="inlineStr">
        <is>
          <t>EQB.TO</t>
        </is>
      </c>
      <c r="B821" s="44" t="inlineStr">
        <is>
          <t>EQB Inc.</t>
        </is>
      </c>
      <c r="C821" s="44" t="inlineStr">
        <is>
          <t>CA</t>
        </is>
      </c>
      <c r="D821" s="44" t="inlineStr">
        <is>
          <t>— not an index member —</t>
        </is>
      </c>
      <c r="E821" s="44" t="inlineStr">
        <is>
          <t>Financial Services</t>
        </is>
      </c>
      <c r="F821" s="45" t="n">
        <v>4885300736</v>
      </c>
      <c r="G821" s="44" t="inlineStr">
        <is>
          <t>nightly refresh</t>
        </is>
      </c>
      <c r="H821" s="43" t="n"/>
      <c r="I821" s="44" t="inlineStr">
        <is>
          <t>—</t>
        </is>
      </c>
      <c r="J821" s="44" t="inlineStr">
        <is>
          <t>2004-05-07</t>
        </is>
      </c>
      <c r="K821" s="43" t="n">
        <v>5598</v>
      </c>
      <c r="L821" s="44" t="inlineStr">
        <is>
          <t>2004-05-07</t>
        </is>
      </c>
      <c r="M821" s="44" t="inlineStr">
        <is>
          <t>2026-08-25</t>
        </is>
      </c>
      <c r="N821" s="43" t="n">
        <v>266</v>
      </c>
      <c r="O821" s="46" t="n">
        <v>-18.6843</v>
      </c>
      <c r="P821" s="46" t="n">
        <v>-68.05110000000001</v>
      </c>
      <c r="Q821" s="46" t="n">
        <v>50.6149</v>
      </c>
      <c r="R821" s="46" t="n">
        <v>-10.4577</v>
      </c>
      <c r="S821" s="47">
        <f>IF($I821="Yes",$O821,"")</f>
        <v/>
      </c>
    </row>
    <row r="822">
      <c r="A822" s="48" t="inlineStr">
        <is>
          <t>GWO.TO</t>
        </is>
      </c>
      <c r="B822" s="49" t="inlineStr">
        <is>
          <t>Great-West Lifeco Inc.</t>
        </is>
      </c>
      <c r="C822" s="49" t="inlineStr">
        <is>
          <t>CA</t>
        </is>
      </c>
      <c r="D822" s="49" t="inlineStr">
        <is>
          <t>— not an index member —</t>
        </is>
      </c>
      <c r="E822" s="49" t="inlineStr">
        <is>
          <t>Financial Services</t>
        </is>
      </c>
      <c r="F822" s="50" t="n">
        <v>80791797760</v>
      </c>
      <c r="G822" s="49" t="inlineStr">
        <is>
          <t>nightly refresh</t>
        </is>
      </c>
      <c r="H822" s="48" t="n"/>
      <c r="I822" s="49" t="inlineStr">
        <is>
          <t>—</t>
        </is>
      </c>
      <c r="J822" s="49" t="inlineStr">
        <is>
          <t>2002-07-08</t>
        </is>
      </c>
      <c r="K822" s="48" t="n">
        <v>6061</v>
      </c>
      <c r="L822" s="49" t="inlineStr">
        <is>
          <t>2002-07-08</t>
        </is>
      </c>
      <c r="M822" s="49" t="inlineStr">
        <is>
          <t>2026-08-25</t>
        </is>
      </c>
      <c r="N822" s="48" t="n">
        <v>238</v>
      </c>
      <c r="O822" s="51" t="n">
        <v>-14.3524</v>
      </c>
      <c r="P822" s="51" t="n">
        <v>-67.4791</v>
      </c>
      <c r="Q822" s="51" t="n">
        <v>32.9694</v>
      </c>
      <c r="R822" s="51" t="n">
        <v>-5.186</v>
      </c>
      <c r="S822" s="52">
        <f>IF($I822="Yes",$O822,"")</f>
        <v/>
      </c>
    </row>
    <row r="823">
      <c r="A823" s="43" t="inlineStr">
        <is>
          <t>IAG.TO</t>
        </is>
      </c>
      <c r="B823" s="44" t="inlineStr">
        <is>
          <t>iA Financial Corporation Inc.</t>
        </is>
      </c>
      <c r="C823" s="44" t="inlineStr">
        <is>
          <t>CA</t>
        </is>
      </c>
      <c r="D823" s="44" t="inlineStr">
        <is>
          <t>— not an index member —</t>
        </is>
      </c>
      <c r="E823" s="44" t="inlineStr">
        <is>
          <t>Financial Services</t>
        </is>
      </c>
      <c r="F823" s="45" t="n">
        <v>17564729344</v>
      </c>
      <c r="G823" s="44" t="inlineStr">
        <is>
          <t>nightly refresh</t>
        </is>
      </c>
      <c r="H823" s="43" t="n"/>
      <c r="I823" s="44" t="inlineStr">
        <is>
          <t>—</t>
        </is>
      </c>
      <c r="J823" s="44" t="inlineStr">
        <is>
          <t>2000-02-10</t>
        </is>
      </c>
      <c r="K823" s="43" t="n">
        <v>6666</v>
      </c>
      <c r="L823" s="44" t="inlineStr">
        <is>
          <t>2000-02-10</t>
        </is>
      </c>
      <c r="M823" s="44" t="inlineStr">
        <is>
          <t>2026-08-25</t>
        </is>
      </c>
      <c r="N823" s="43" t="n">
        <v>310</v>
      </c>
      <c r="O823" s="46" t="n">
        <v>-16.6505</v>
      </c>
      <c r="P823" s="46" t="n">
        <v>-64.6885</v>
      </c>
      <c r="Q823" s="46" t="n">
        <v>43.2156</v>
      </c>
      <c r="R823" s="46" t="n">
        <v>-10.5204</v>
      </c>
      <c r="S823" s="47">
        <f>IF($I823="Yes",$O823,"")</f>
        <v/>
      </c>
    </row>
    <row r="824">
      <c r="A824" s="48" t="inlineStr">
        <is>
          <t>IFL.AX</t>
        </is>
      </c>
      <c r="B824" s="49" t="inlineStr">
        <is>
          <t>Insignia Financial Ltd.</t>
        </is>
      </c>
      <c r="C824" s="49" t="inlineStr">
        <is>
          <t>AU</t>
        </is>
      </c>
      <c r="D824" s="49" t="inlineStr">
        <is>
          <t>— not an index member —</t>
        </is>
      </c>
      <c r="E824" s="49" t="inlineStr">
        <is>
          <t>Financial Services</t>
        </is>
      </c>
      <c r="F824" s="50" t="n">
        <v>3212778240</v>
      </c>
      <c r="G824" s="49" t="inlineStr">
        <is>
          <t>nightly refresh</t>
        </is>
      </c>
      <c r="H824" s="48" t="n"/>
      <c r="I824" s="49" t="inlineStr">
        <is>
          <t>—</t>
        </is>
      </c>
      <c r="J824" s="49" t="inlineStr">
        <is>
          <t>2003-12-04</t>
        </is>
      </c>
      <c r="K824" s="48" t="n">
        <v>5673</v>
      </c>
      <c r="L824" s="49" t="inlineStr">
        <is>
          <t>2003-12-04</t>
        </is>
      </c>
      <c r="M824" s="49" t="inlineStr">
        <is>
          <t>2026-04-29</t>
        </is>
      </c>
      <c r="N824" s="48" t="n">
        <v>291</v>
      </c>
      <c r="O824" s="51" t="n">
        <v>-22.921</v>
      </c>
      <c r="P824" s="51" t="n">
        <v>-66.1516</v>
      </c>
      <c r="Q824" s="51" t="n">
        <v>48.4143</v>
      </c>
      <c r="R824" s="51" t="n">
        <v>-0.2083</v>
      </c>
      <c r="S824" s="52">
        <f>IF($I824="Yes",$O824,"")</f>
        <v/>
      </c>
    </row>
    <row r="825">
      <c r="A825" s="43" t="inlineStr">
        <is>
          <t>LNC</t>
        </is>
      </c>
      <c r="B825" s="44" t="inlineStr">
        <is>
          <t>Lincoln National Corporation</t>
        </is>
      </c>
      <c r="C825" s="44" t="inlineStr">
        <is>
          <t>US</t>
        </is>
      </c>
      <c r="D825" s="44" t="inlineStr">
        <is>
          <t>— not an index member —</t>
        </is>
      </c>
      <c r="E825" s="44" t="inlineStr">
        <is>
          <t>Financial Services</t>
        </is>
      </c>
      <c r="F825" s="45" t="n">
        <v>8293498368</v>
      </c>
      <c r="G825" s="44" t="inlineStr">
        <is>
          <t>nightly refresh</t>
        </is>
      </c>
      <c r="H825" s="43" t="n"/>
      <c r="I825" s="44" t="inlineStr">
        <is>
          <t>—</t>
        </is>
      </c>
      <c r="J825" s="44" t="inlineStr">
        <is>
          <t>1980-03-17</t>
        </is>
      </c>
      <c r="K825" s="43" t="n">
        <v>6701</v>
      </c>
      <c r="L825" s="44" t="inlineStr">
        <is>
          <t>2000-01-03</t>
        </is>
      </c>
      <c r="M825" s="44" t="inlineStr">
        <is>
          <t>2026-08-25</t>
        </is>
      </c>
      <c r="N825" s="43" t="n">
        <v>367</v>
      </c>
      <c r="O825" s="46" t="n">
        <v>-24.6023</v>
      </c>
      <c r="P825" s="46" t="n">
        <v>-91.67749999999999</v>
      </c>
      <c r="Q825" s="46" t="n">
        <v>71.7651</v>
      </c>
      <c r="R825" s="46" t="n">
        <v>-10.6146</v>
      </c>
      <c r="S825" s="47">
        <f>IF($I825="Yes",$O825,"")</f>
        <v/>
      </c>
    </row>
    <row r="826">
      <c r="A826" s="48" t="inlineStr">
        <is>
          <t>MAF.AX</t>
        </is>
      </c>
      <c r="B826" s="49" t="inlineStr">
        <is>
          <t>MA Financial Group Limited</t>
        </is>
      </c>
      <c r="C826" s="49" t="inlineStr">
        <is>
          <t>AU</t>
        </is>
      </c>
      <c r="D826" s="49" t="inlineStr">
        <is>
          <t>— not an index member —</t>
        </is>
      </c>
      <c r="E826" s="49" t="inlineStr">
        <is>
          <t>Financial Services</t>
        </is>
      </c>
      <c r="F826" s="50" t="n">
        <v>1217168384</v>
      </c>
      <c r="G826" s="49" t="inlineStr">
        <is>
          <t>nightly refresh</t>
        </is>
      </c>
      <c r="H826" s="48" t="n"/>
      <c r="I826" s="49" t="inlineStr">
        <is>
          <t>—</t>
        </is>
      </c>
      <c r="J826" s="49" t="inlineStr">
        <is>
          <t>2017-04-10</t>
        </is>
      </c>
      <c r="K826" s="48" t="n">
        <v>2374</v>
      </c>
      <c r="L826" s="49" t="inlineStr">
        <is>
          <t>2017-04-10</t>
        </is>
      </c>
      <c r="M826" s="49" t="inlineStr">
        <is>
          <t>2026-08-26</t>
        </is>
      </c>
      <c r="N826" s="48" t="n">
        <v>135</v>
      </c>
      <c r="O826" s="51" t="n">
        <v>-25.9827</v>
      </c>
      <c r="P826" s="51" t="n">
        <v>-78.8271</v>
      </c>
      <c r="Q826" s="51" t="n">
        <v>78.7092</v>
      </c>
      <c r="R826" s="51" t="n">
        <v>-45.6414</v>
      </c>
      <c r="S826" s="52">
        <f>IF($I826="Yes",$O826,"")</f>
        <v/>
      </c>
    </row>
    <row r="827">
      <c r="A827" s="43" t="inlineStr">
        <is>
          <t>MKTX</t>
        </is>
      </c>
      <c r="B827" s="44" t="inlineStr">
        <is>
          <t>MarketAxess Holdings Inc.</t>
        </is>
      </c>
      <c r="C827" s="44" t="inlineStr">
        <is>
          <t>US</t>
        </is>
      </c>
      <c r="D827" s="44" t="inlineStr">
        <is>
          <t>— not an index member —</t>
        </is>
      </c>
      <c r="E827" s="44" t="inlineStr">
        <is>
          <t>Financial Services</t>
        </is>
      </c>
      <c r="F827" s="45" t="n">
        <v>5719548928</v>
      </c>
      <c r="G827" s="44" t="inlineStr">
        <is>
          <t>nightly refresh</t>
        </is>
      </c>
      <c r="H827" s="43" t="n"/>
      <c r="I827" s="44" t="inlineStr">
        <is>
          <t>—</t>
        </is>
      </c>
      <c r="J827" s="44" t="inlineStr">
        <is>
          <t>2004-11-05</t>
        </is>
      </c>
      <c r="K827" s="43" t="n">
        <v>5484</v>
      </c>
      <c r="L827" s="44" t="inlineStr">
        <is>
          <t>2004-11-05</t>
        </is>
      </c>
      <c r="M827" s="44" t="inlineStr">
        <is>
          <t>2026-08-25</t>
        </is>
      </c>
      <c r="N827" s="43" t="n">
        <v>306</v>
      </c>
      <c r="O827" s="46" t="n">
        <v>-24.182</v>
      </c>
      <c r="P827" s="46" t="n">
        <v>-73.2298</v>
      </c>
      <c r="Q827" s="46" t="n">
        <v>58.6956</v>
      </c>
      <c r="R827" s="46" t="n">
        <v>-16.6207</v>
      </c>
      <c r="S827" s="47">
        <f>IF($I827="Yes",$O827,"")</f>
        <v/>
      </c>
    </row>
    <row r="828">
      <c r="A828" s="48" t="inlineStr">
        <is>
          <t>PAC.AX</t>
        </is>
      </c>
      <c r="B828" s="49" t="inlineStr">
        <is>
          <t>Pacific Current Group Limited</t>
        </is>
      </c>
      <c r="C828" s="49" t="inlineStr">
        <is>
          <t>AU</t>
        </is>
      </c>
      <c r="D828" s="49" t="inlineStr">
        <is>
          <t>— not an index member —</t>
        </is>
      </c>
      <c r="E828" s="49" t="inlineStr">
        <is>
          <t>Financial Services</t>
        </is>
      </c>
      <c r="F828" s="50" t="n">
        <v>330581312</v>
      </c>
      <c r="G828" s="49" t="inlineStr">
        <is>
          <t>nightly refresh</t>
        </is>
      </c>
      <c r="H828" s="48" t="n"/>
      <c r="I828" s="49" t="inlineStr">
        <is>
          <t>—</t>
        </is>
      </c>
      <c r="J828" s="49" t="inlineStr">
        <is>
          <t>1988-01-29</t>
        </is>
      </c>
      <c r="K828" s="48" t="n">
        <v>6780</v>
      </c>
      <c r="L828" s="49" t="inlineStr">
        <is>
          <t>2000-01-03</t>
        </is>
      </c>
      <c r="M828" s="49" t="inlineStr">
        <is>
          <t>2026-08-26</t>
        </is>
      </c>
      <c r="N828" s="48" t="n">
        <v>281</v>
      </c>
      <c r="O828" s="51" t="n">
        <v>-21.3658</v>
      </c>
      <c r="P828" s="51" t="n">
        <v>-80.4815</v>
      </c>
      <c r="Q828" s="51" t="n">
        <v>60.0897</v>
      </c>
      <c r="R828" s="51" t="n">
        <v>-8.0321</v>
      </c>
      <c r="S828" s="52">
        <f>IF($I828="Yes",$O828,"")</f>
        <v/>
      </c>
    </row>
    <row r="829">
      <c r="A829" s="43" t="inlineStr">
        <is>
          <t>X.TO</t>
        </is>
      </c>
      <c r="B829" s="44" t="inlineStr">
        <is>
          <t>TMX Group Limited</t>
        </is>
      </c>
      <c r="C829" s="44" t="inlineStr">
        <is>
          <t>CA</t>
        </is>
      </c>
      <c r="D829" s="44" t="inlineStr">
        <is>
          <t>— not an index member —</t>
        </is>
      </c>
      <c r="E829" s="44" t="inlineStr">
        <is>
          <t>Financial Services</t>
        </is>
      </c>
      <c r="F829" s="45" t="n">
        <v>15047451648</v>
      </c>
      <c r="G829" s="44" t="inlineStr">
        <is>
          <t>nightly refresh</t>
        </is>
      </c>
      <c r="H829" s="43" t="n"/>
      <c r="I829" s="44" t="inlineStr">
        <is>
          <t>—</t>
        </is>
      </c>
      <c r="J829" s="44" t="inlineStr">
        <is>
          <t>2003-10-01</t>
        </is>
      </c>
      <c r="K829" s="43" t="n">
        <v>5750</v>
      </c>
      <c r="L829" s="44" t="inlineStr">
        <is>
          <t>2003-10-01</t>
        </is>
      </c>
      <c r="M829" s="44" t="inlineStr">
        <is>
          <t>2026-08-25</t>
        </is>
      </c>
      <c r="N829" s="43" t="n">
        <v>275</v>
      </c>
      <c r="O829" s="46" t="n">
        <v>-14.9405</v>
      </c>
      <c r="P829" s="46" t="n">
        <v>-59.4066</v>
      </c>
      <c r="Q829" s="46" t="n">
        <v>38.9914</v>
      </c>
      <c r="R829" s="46" t="n">
        <v>-5.4647</v>
      </c>
      <c r="S829" s="47">
        <f>IF($I829="Yes",$O829,"")</f>
        <v/>
      </c>
    </row>
    <row r="830">
      <c r="A830" s="48" t="inlineStr">
        <is>
          <t>ALC.AX</t>
        </is>
      </c>
      <c r="B830" s="49" t="inlineStr">
        <is>
          <t>Alcidion Group Limited</t>
        </is>
      </c>
      <c r="C830" s="49" t="inlineStr">
        <is>
          <t>AU</t>
        </is>
      </c>
      <c r="D830" s="49" t="inlineStr">
        <is>
          <t>— not an index member —</t>
        </is>
      </c>
      <c r="E830" s="49" t="inlineStr">
        <is>
          <t>Healthcare</t>
        </is>
      </c>
      <c r="F830" s="50" t="n">
        <v>128923464</v>
      </c>
      <c r="G830" s="49" t="inlineStr">
        <is>
          <t>nightly refresh</t>
        </is>
      </c>
      <c r="H830" s="48" t="n"/>
      <c r="I830" s="49" t="inlineStr">
        <is>
          <t>—</t>
        </is>
      </c>
      <c r="J830" s="49" t="inlineStr">
        <is>
          <t>2011-06-24</t>
        </is>
      </c>
      <c r="K830" s="48" t="n">
        <v>3840</v>
      </c>
      <c r="L830" s="49" t="inlineStr">
        <is>
          <t>2011-06-24</t>
        </is>
      </c>
      <c r="M830" s="49" t="inlineStr">
        <is>
          <t>2026-08-26</t>
        </is>
      </c>
      <c r="N830" s="48" t="n">
        <v>104</v>
      </c>
      <c r="O830" s="51" t="n">
        <v>-43.7265</v>
      </c>
      <c r="P830" s="51" t="n">
        <v>-86.5061</v>
      </c>
      <c r="Q830" s="51" t="n">
        <v>127.9935</v>
      </c>
      <c r="R830" s="51" t="n">
        <v>-35.8621</v>
      </c>
      <c r="S830" s="52">
        <f>IF($I830="Yes",$O830,"")</f>
        <v/>
      </c>
    </row>
    <row r="831">
      <c r="A831" s="43" t="inlineStr">
        <is>
          <t>ARX.AX</t>
        </is>
      </c>
      <c r="B831" s="44" t="inlineStr">
        <is>
          <t>Aroa Biosurgery Limited</t>
        </is>
      </c>
      <c r="C831" s="44" t="inlineStr">
        <is>
          <t>AU</t>
        </is>
      </c>
      <c r="D831" s="44" t="inlineStr">
        <is>
          <t>— not an index member —</t>
        </is>
      </c>
      <c r="E831" s="44" t="inlineStr">
        <is>
          <t>Healthcare</t>
        </is>
      </c>
      <c r="F831" s="45" t="n">
        <v>194057808</v>
      </c>
      <c r="G831" s="44" t="inlineStr">
        <is>
          <t>nightly refresh</t>
        </is>
      </c>
      <c r="H831" s="43" t="n"/>
      <c r="I831" s="44" t="inlineStr">
        <is>
          <t>—</t>
        </is>
      </c>
      <c r="J831" s="44" t="inlineStr">
        <is>
          <t>2020-07-24</t>
        </is>
      </c>
      <c r="K831" s="43" t="n">
        <v>1542</v>
      </c>
      <c r="L831" s="44" t="inlineStr">
        <is>
          <t>2020-07-24</t>
        </is>
      </c>
      <c r="M831" s="44" t="inlineStr">
        <is>
          <t>2026-08-26</t>
        </is>
      </c>
      <c r="N831" s="43" t="n">
        <v>71</v>
      </c>
      <c r="O831" s="46" t="n">
        <v>-34.2356</v>
      </c>
      <c r="P831" s="46" t="n">
        <v>-55.0926</v>
      </c>
      <c r="Q831" s="46" t="n">
        <v>39.3075</v>
      </c>
      <c r="R831" s="46" t="n">
        <v>-30</v>
      </c>
      <c r="S831" s="47">
        <f>IF($I831="Yes",$O831,"")</f>
        <v/>
      </c>
    </row>
    <row r="832">
      <c r="A832" s="48" t="inlineStr">
        <is>
          <t>AVH.AX</t>
        </is>
      </c>
      <c r="B832" s="49" t="inlineStr">
        <is>
          <t>AVITA Medical, Inc.</t>
        </is>
      </c>
      <c r="C832" s="49" t="inlineStr">
        <is>
          <t>AU</t>
        </is>
      </c>
      <c r="D832" s="49" t="inlineStr">
        <is>
          <t>— not an index member —</t>
        </is>
      </c>
      <c r="E832" s="49" t="inlineStr">
        <is>
          <t>Healthcare</t>
        </is>
      </c>
      <c r="F832" s="50" t="n">
        <v>443800256</v>
      </c>
      <c r="G832" s="49" t="inlineStr">
        <is>
          <t>nightly refresh</t>
        </is>
      </c>
      <c r="H832" s="48" t="n"/>
      <c r="I832" s="49" t="inlineStr">
        <is>
          <t>—</t>
        </is>
      </c>
      <c r="J832" s="49" t="inlineStr">
        <is>
          <t>1993-08-31</t>
        </is>
      </c>
      <c r="K832" s="48" t="n">
        <v>6780</v>
      </c>
      <c r="L832" s="49" t="inlineStr">
        <is>
          <t>2000-01-03</t>
        </is>
      </c>
      <c r="M832" s="49" t="inlineStr">
        <is>
          <t>2026-08-26</t>
        </is>
      </c>
      <c r="N832" s="48" t="n">
        <v>273</v>
      </c>
      <c r="O832" s="51" t="n">
        <v>-48.29</v>
      </c>
      <c r="P832" s="51" t="n">
        <v>-90.30929999999999</v>
      </c>
      <c r="Q832" s="51" t="n">
        <v>113.9278</v>
      </c>
      <c r="R832" s="51" t="n">
        <v>-1.3559</v>
      </c>
      <c r="S832" s="52">
        <f>IF($I832="Yes",$O832,"")</f>
        <v/>
      </c>
    </row>
    <row r="833">
      <c r="A833" s="43" t="inlineStr">
        <is>
          <t>BHC.TO</t>
        </is>
      </c>
      <c r="B833" s="44" t="inlineStr">
        <is>
          <t>Bausch Health Companies Inc.</t>
        </is>
      </c>
      <c r="C833" s="44" t="inlineStr">
        <is>
          <t>CA</t>
        </is>
      </c>
      <c r="D833" s="44" t="inlineStr">
        <is>
          <t>— not an index member —</t>
        </is>
      </c>
      <c r="E833" s="44" t="inlineStr">
        <is>
          <t>Healthcare</t>
        </is>
      </c>
      <c r="F833" s="45" t="n">
        <v>3377134592</v>
      </c>
      <c r="G833" s="44" t="inlineStr">
        <is>
          <t>nightly refresh</t>
        </is>
      </c>
      <c r="H833" s="43" t="n"/>
      <c r="I833" s="44" t="inlineStr">
        <is>
          <t>—</t>
        </is>
      </c>
      <c r="J833" s="44" t="inlineStr">
        <is>
          <t>1996-04-03</t>
        </is>
      </c>
      <c r="K833" s="43" t="n">
        <v>6693</v>
      </c>
      <c r="L833" s="44" t="inlineStr">
        <is>
          <t>2000-01-04</t>
        </is>
      </c>
      <c r="M833" s="44" t="inlineStr">
        <is>
          <t>2026-08-25</t>
        </is>
      </c>
      <c r="N833" s="43" t="n">
        <v>375</v>
      </c>
      <c r="O833" s="46" t="n">
        <v>-32.8537</v>
      </c>
      <c r="P833" s="46" t="n">
        <v>-92.95650000000001</v>
      </c>
      <c r="Q833" s="46" t="n">
        <v>71.09699999999999</v>
      </c>
      <c r="R833" s="46" t="n">
        <v>-15.9747</v>
      </c>
      <c r="S833" s="47">
        <f>IF($I833="Yes",$O833,"")</f>
        <v/>
      </c>
    </row>
    <row r="834">
      <c r="A834" s="48" t="inlineStr">
        <is>
          <t>BIO</t>
        </is>
      </c>
      <c r="B834" s="49" t="inlineStr">
        <is>
          <t>Bio-Rad Laboratories, Inc.</t>
        </is>
      </c>
      <c r="C834" s="49" t="inlineStr">
        <is>
          <t>US</t>
        </is>
      </c>
      <c r="D834" s="49" t="inlineStr">
        <is>
          <t>— not an index member —</t>
        </is>
      </c>
      <c r="E834" s="49" t="inlineStr">
        <is>
          <t>Healthcare</t>
        </is>
      </c>
      <c r="F834" s="50" t="n">
        <v>10391525376</v>
      </c>
      <c r="G834" s="49" t="inlineStr">
        <is>
          <t>nightly refresh</t>
        </is>
      </c>
      <c r="H834" s="48" t="n"/>
      <c r="I834" s="49" t="inlineStr">
        <is>
          <t>—</t>
        </is>
      </c>
      <c r="J834" s="49" t="inlineStr">
        <is>
          <t>1980-02-27</t>
        </is>
      </c>
      <c r="K834" s="48" t="n">
        <v>6701</v>
      </c>
      <c r="L834" s="49" t="inlineStr">
        <is>
          <t>2000-01-03</t>
        </is>
      </c>
      <c r="M834" s="49" t="inlineStr">
        <is>
          <t>2026-08-25</t>
        </is>
      </c>
      <c r="N834" s="48" t="n">
        <v>364</v>
      </c>
      <c r="O834" s="51" t="n">
        <v>-20.1751</v>
      </c>
      <c r="P834" s="51" t="n">
        <v>-55.8857</v>
      </c>
      <c r="Q834" s="51" t="n">
        <v>43.6421</v>
      </c>
      <c r="R834" s="51" t="n">
        <v>-0.1164</v>
      </c>
      <c r="S834" s="52">
        <f>IF($I834="Yes",$O834,"")</f>
        <v/>
      </c>
    </row>
    <row r="835">
      <c r="A835" s="43" t="inlineStr">
        <is>
          <t>CYC.AX</t>
        </is>
      </c>
      <c r="B835" s="44" t="inlineStr">
        <is>
          <t>Cyclopharm Limited</t>
        </is>
      </c>
      <c r="C835" s="44" t="inlineStr">
        <is>
          <t>AU</t>
        </is>
      </c>
      <c r="D835" s="44" t="inlineStr">
        <is>
          <t>— not an index member —</t>
        </is>
      </c>
      <c r="E835" s="44" t="inlineStr">
        <is>
          <t>Healthcare</t>
        </is>
      </c>
      <c r="F835" s="45" t="n">
        <v>64124412</v>
      </c>
      <c r="G835" s="44" t="inlineStr">
        <is>
          <t>nightly refresh</t>
        </is>
      </c>
      <c r="H835" s="43" t="n"/>
      <c r="I835" s="44" t="inlineStr">
        <is>
          <t>—</t>
        </is>
      </c>
      <c r="J835" s="44" t="inlineStr">
        <is>
          <t>2007-01-18</t>
        </is>
      </c>
      <c r="K835" s="43" t="n">
        <v>4959</v>
      </c>
      <c r="L835" s="44" t="inlineStr">
        <is>
          <t>2007-01-18</t>
        </is>
      </c>
      <c r="M835" s="44" t="inlineStr">
        <is>
          <t>2026-08-26</t>
        </is>
      </c>
      <c r="N835" s="43" t="n">
        <v>140</v>
      </c>
      <c r="O835" s="46" t="n">
        <v>-39.3067</v>
      </c>
      <c r="P835" s="46" t="n">
        <v>-85.5556</v>
      </c>
      <c r="Q835" s="46" t="n">
        <v>74.7225</v>
      </c>
      <c r="R835" s="46" t="n">
        <v>-59.6899</v>
      </c>
      <c r="S835" s="47">
        <f>IF($I835="Yes",$O835,"")</f>
        <v/>
      </c>
    </row>
    <row r="836">
      <c r="A836" s="48" t="inlineStr">
        <is>
          <t>EBO.AX</t>
        </is>
      </c>
      <c r="B836" s="49" t="inlineStr">
        <is>
          <t>EBOS Group Limited</t>
        </is>
      </c>
      <c r="C836" s="49" t="inlineStr">
        <is>
          <t>AU</t>
        </is>
      </c>
      <c r="D836" s="49" t="inlineStr">
        <is>
          <t>— not an index member —</t>
        </is>
      </c>
      <c r="E836" s="49" t="inlineStr">
        <is>
          <t>Healthcare</t>
        </is>
      </c>
      <c r="F836" s="50" t="n">
        <v>3659403520</v>
      </c>
      <c r="G836" s="49" t="inlineStr">
        <is>
          <t>nightly refresh</t>
        </is>
      </c>
      <c r="H836" s="48" t="n"/>
      <c r="I836" s="49" t="inlineStr">
        <is>
          <t>—</t>
        </is>
      </c>
      <c r="J836" s="49" t="inlineStr">
        <is>
          <t>2013-12-06</t>
        </is>
      </c>
      <c r="K836" s="48" t="n">
        <v>3219</v>
      </c>
      <c r="L836" s="49" t="inlineStr">
        <is>
          <t>2013-12-06</t>
        </is>
      </c>
      <c r="M836" s="49" t="inlineStr">
        <is>
          <t>2026-08-26</t>
        </is>
      </c>
      <c r="N836" s="48" t="n">
        <v>114</v>
      </c>
      <c r="O836" s="51" t="n">
        <v>-17.8951</v>
      </c>
      <c r="P836" s="51" t="n">
        <v>-56.9652</v>
      </c>
      <c r="Q836" s="51" t="n">
        <v>30.5608</v>
      </c>
      <c r="R836" s="51" t="n">
        <v>-36.9042</v>
      </c>
      <c r="S836" s="52">
        <f>IF($I836="Yes",$O836,"")</f>
        <v/>
      </c>
    </row>
    <row r="837">
      <c r="A837" s="43" t="inlineStr">
        <is>
          <t>MOH</t>
        </is>
      </c>
      <c r="B837" s="44" t="inlineStr">
        <is>
          <t>Molina Healthcare, Inc.</t>
        </is>
      </c>
      <c r="C837" s="44" t="inlineStr">
        <is>
          <t>US</t>
        </is>
      </c>
      <c r="D837" s="44" t="inlineStr">
        <is>
          <t>— not an index member —</t>
        </is>
      </c>
      <c r="E837" s="44" t="inlineStr">
        <is>
          <t>Healthcare</t>
        </is>
      </c>
      <c r="F837" s="45" t="n">
        <v>10566845440</v>
      </c>
      <c r="G837" s="44" t="inlineStr">
        <is>
          <t>nightly refresh</t>
        </is>
      </c>
      <c r="H837" s="43" t="n"/>
      <c r="I837" s="44" t="inlineStr">
        <is>
          <t>—</t>
        </is>
      </c>
      <c r="J837" s="44" t="inlineStr">
        <is>
          <t>2003-07-02</t>
        </is>
      </c>
      <c r="K837" s="43" t="n">
        <v>5824</v>
      </c>
      <c r="L837" s="44" t="inlineStr">
        <is>
          <t>2003-07-02</t>
        </is>
      </c>
      <c r="M837" s="44" t="inlineStr">
        <is>
          <t>2026-08-25</t>
        </is>
      </c>
      <c r="N837" s="43" t="n">
        <v>319</v>
      </c>
      <c r="O837" s="46" t="n">
        <v>-23.6479</v>
      </c>
      <c r="P837" s="46" t="n">
        <v>-65.9277</v>
      </c>
      <c r="Q837" s="46" t="n">
        <v>55.8176</v>
      </c>
      <c r="R837" s="46" t="n">
        <v>-18.4818</v>
      </c>
      <c r="S837" s="47">
        <f>IF($I837="Yes",$O837,"")</f>
        <v/>
      </c>
    </row>
    <row r="838">
      <c r="A838" s="48" t="inlineStr">
        <is>
          <t>OGN</t>
        </is>
      </c>
      <c r="B838" s="49" t="inlineStr">
        <is>
          <t>Organon &amp; Co.</t>
        </is>
      </c>
      <c r="C838" s="49" t="inlineStr">
        <is>
          <t>US</t>
        </is>
      </c>
      <c r="D838" s="49" t="inlineStr">
        <is>
          <t>— not an index member —</t>
        </is>
      </c>
      <c r="E838" s="49" t="inlineStr">
        <is>
          <t>Healthcare</t>
        </is>
      </c>
      <c r="F838" s="50" t="n">
        <v>3616132096</v>
      </c>
      <c r="G838" s="49" t="inlineStr">
        <is>
          <t>nightly refresh</t>
        </is>
      </c>
      <c r="H838" s="48" t="n"/>
      <c r="I838" s="49" t="inlineStr">
        <is>
          <t>—</t>
        </is>
      </c>
      <c r="J838" s="49" t="inlineStr">
        <is>
          <t>2021-05-14</t>
        </is>
      </c>
      <c r="K838" s="48" t="n">
        <v>1326</v>
      </c>
      <c r="L838" s="49" t="inlineStr">
        <is>
          <t>2021-05-14</t>
        </is>
      </c>
      <c r="M838" s="49" t="inlineStr">
        <is>
          <t>2026-08-25</t>
        </is>
      </c>
      <c r="N838" s="48" t="n">
        <v>65</v>
      </c>
      <c r="O838" s="51" t="n">
        <v>-37.1338</v>
      </c>
      <c r="P838" s="51" t="n">
        <v>-65.34399999999999</v>
      </c>
      <c r="Q838" s="51" t="n">
        <v>40.513</v>
      </c>
      <c r="R838" s="51" t="n">
        <v>-0.0727</v>
      </c>
      <c r="S838" s="52">
        <f>IF($I838="Yes",$O838,"")</f>
        <v/>
      </c>
    </row>
    <row r="839">
      <c r="A839" s="43" t="inlineStr">
        <is>
          <t>PAR.AX</t>
        </is>
      </c>
      <c r="B839" s="44" t="inlineStr">
        <is>
          <t>Paradigm Biopharmaceuticals Limited</t>
        </is>
      </c>
      <c r="C839" s="44" t="inlineStr">
        <is>
          <t>AU</t>
        </is>
      </c>
      <c r="D839" s="44" t="inlineStr">
        <is>
          <t>— not an index member —</t>
        </is>
      </c>
      <c r="E839" s="44" t="inlineStr">
        <is>
          <t>Healthcare</t>
        </is>
      </c>
      <c r="F839" s="45" t="n">
        <v>121369744</v>
      </c>
      <c r="G839" s="44" t="inlineStr">
        <is>
          <t>nightly refresh</t>
        </is>
      </c>
      <c r="H839" s="43" t="n"/>
      <c r="I839" s="44" t="inlineStr">
        <is>
          <t>—</t>
        </is>
      </c>
      <c r="J839" s="44" t="inlineStr">
        <is>
          <t>2015-08-19</t>
        </is>
      </c>
      <c r="K839" s="43" t="n">
        <v>2791</v>
      </c>
      <c r="L839" s="44" t="inlineStr">
        <is>
          <t>2015-08-19</t>
        </is>
      </c>
      <c r="M839" s="44" t="inlineStr">
        <is>
          <t>2026-08-26</t>
        </is>
      </c>
      <c r="N839" s="43" t="n">
        <v>117</v>
      </c>
      <c r="O839" s="46" t="n">
        <v>-45.2968</v>
      </c>
      <c r="P839" s="46" t="n">
        <v>-79.73569999999999</v>
      </c>
      <c r="Q839" s="46" t="n">
        <v>119.185</v>
      </c>
      <c r="R839" s="46" t="n">
        <v>-52.1277</v>
      </c>
      <c r="S839" s="47">
        <f>IF($I839="Yes",$O839,"")</f>
        <v/>
      </c>
    </row>
    <row r="840">
      <c r="A840" s="48" t="inlineStr">
        <is>
          <t>SPL.AX</t>
        </is>
      </c>
      <c r="B840" s="49" t="inlineStr">
        <is>
          <t>Starpharma Holdings Limited</t>
        </is>
      </c>
      <c r="C840" s="49" t="inlineStr">
        <is>
          <t>AU</t>
        </is>
      </c>
      <c r="D840" s="49" t="inlineStr">
        <is>
          <t>— not an index member —</t>
        </is>
      </c>
      <c r="E840" s="49" t="inlineStr">
        <is>
          <t>Healthcare</t>
        </is>
      </c>
      <c r="F840" s="50" t="n">
        <v>341094272</v>
      </c>
      <c r="G840" s="49" t="inlineStr">
        <is>
          <t>nightly refresh</t>
        </is>
      </c>
      <c r="H840" s="48" t="n"/>
      <c r="I840" s="49" t="inlineStr">
        <is>
          <t>—</t>
        </is>
      </c>
      <c r="J840" s="49" t="inlineStr">
        <is>
          <t>2000-09-27</t>
        </is>
      </c>
      <c r="K840" s="48" t="n">
        <v>6588</v>
      </c>
      <c r="L840" s="49" t="inlineStr">
        <is>
          <t>2000-09-27</t>
        </is>
      </c>
      <c r="M840" s="49" t="inlineStr">
        <is>
          <t>2026-08-26</t>
        </is>
      </c>
      <c r="N840" s="48" t="n">
        <v>292</v>
      </c>
      <c r="O840" s="51" t="n">
        <v>-35.5608</v>
      </c>
      <c r="P840" s="51" t="n">
        <v>-81.8182</v>
      </c>
      <c r="Q840" s="51" t="n">
        <v>85.6343</v>
      </c>
      <c r="R840" s="51" t="n">
        <v>-11.0429</v>
      </c>
      <c r="S840" s="52">
        <f>IF($I840="Yes",$O840,"")</f>
        <v/>
      </c>
    </row>
    <row r="841">
      <c r="A841" s="43" t="inlineStr">
        <is>
          <t>TFX</t>
        </is>
      </c>
      <c r="B841" s="44" t="inlineStr">
        <is>
          <t>Teleflex Incorporated</t>
        </is>
      </c>
      <c r="C841" s="44" t="inlineStr">
        <is>
          <t>US</t>
        </is>
      </c>
      <c r="D841" s="44" t="inlineStr">
        <is>
          <t>— not an index member —</t>
        </is>
      </c>
      <c r="E841" s="44" t="inlineStr">
        <is>
          <t>Healthcare</t>
        </is>
      </c>
      <c r="F841" s="45" t="n">
        <v>5878746624</v>
      </c>
      <c r="G841" s="44" t="inlineStr">
        <is>
          <t>nightly refresh</t>
        </is>
      </c>
      <c r="H841" s="43" t="n"/>
      <c r="I841" s="44" t="inlineStr">
        <is>
          <t>—</t>
        </is>
      </c>
      <c r="J841" s="44" t="inlineStr">
        <is>
          <t>1980-03-17</t>
        </is>
      </c>
      <c r="K841" s="43" t="n">
        <v>6701</v>
      </c>
      <c r="L841" s="44" t="inlineStr">
        <is>
          <t>2000-01-03</t>
        </is>
      </c>
      <c r="M841" s="44" t="inlineStr">
        <is>
          <t>2026-08-25</t>
        </is>
      </c>
      <c r="N841" s="43" t="n">
        <v>323</v>
      </c>
      <c r="O841" s="46" t="n">
        <v>-19.653</v>
      </c>
      <c r="P841" s="46" t="n">
        <v>-55.7623</v>
      </c>
      <c r="Q841" s="46" t="n">
        <v>36.6782</v>
      </c>
      <c r="R841" s="46" t="n">
        <v>-3.0843</v>
      </c>
      <c r="S841" s="47">
        <f>IF($I841="Yes",$O841,"")</f>
        <v/>
      </c>
    </row>
    <row r="842">
      <c r="A842" s="48" t="inlineStr">
        <is>
          <t>AAL</t>
        </is>
      </c>
      <c r="B842" s="49" t="inlineStr">
        <is>
          <t>American Airlines Group Inc.</t>
        </is>
      </c>
      <c r="C842" s="49" t="inlineStr">
        <is>
          <t>US</t>
        </is>
      </c>
      <c r="D842" s="49" t="inlineStr">
        <is>
          <t>— not an index member —</t>
        </is>
      </c>
      <c r="E842" s="49" t="inlineStr">
        <is>
          <t>Industrials</t>
        </is>
      </c>
      <c r="F842" s="50" t="n">
        <v>9161663488</v>
      </c>
      <c r="G842" s="49" t="inlineStr">
        <is>
          <t>nightly refresh</t>
        </is>
      </c>
      <c r="H842" s="48" t="n"/>
      <c r="I842" s="49" t="inlineStr">
        <is>
          <t>—</t>
        </is>
      </c>
      <c r="J842" s="49" t="inlineStr">
        <is>
          <t>2005-09-27</t>
        </is>
      </c>
      <c r="K842" s="48" t="n">
        <v>5260</v>
      </c>
      <c r="L842" s="49" t="inlineStr">
        <is>
          <t>2005-09-27</t>
        </is>
      </c>
      <c r="M842" s="49" t="inlineStr">
        <is>
          <t>2026-08-25</t>
        </is>
      </c>
      <c r="N842" s="48" t="n">
        <v>284</v>
      </c>
      <c r="O842" s="51" t="n">
        <v>-35.3699</v>
      </c>
      <c r="P842" s="51" t="n">
        <v>-95.13809999999999</v>
      </c>
      <c r="Q842" s="51" t="n">
        <v>95.8081</v>
      </c>
      <c r="R842" s="51" t="n">
        <v>-25.7584</v>
      </c>
      <c r="S842" s="52">
        <f>IF($I842="Yes",$O842,"")</f>
        <v/>
      </c>
    </row>
    <row r="843">
      <c r="A843" s="43" t="inlineStr">
        <is>
          <t>AC.TO</t>
        </is>
      </c>
      <c r="B843" s="44" t="inlineStr">
        <is>
          <t>Air Canada</t>
        </is>
      </c>
      <c r="C843" s="44" t="inlineStr">
        <is>
          <t>CA</t>
        </is>
      </c>
      <c r="D843" s="44" t="inlineStr">
        <is>
          <t>— not an index member —</t>
        </is>
      </c>
      <c r="E843" s="44" t="inlineStr">
        <is>
          <t>Industrials</t>
        </is>
      </c>
      <c r="F843" s="45" t="n">
        <v>7774662144</v>
      </c>
      <c r="G843" s="44" t="inlineStr">
        <is>
          <t>nightly refresh</t>
        </is>
      </c>
      <c r="H843" s="43" t="n"/>
      <c r="I843" s="44" t="inlineStr">
        <is>
          <t>—</t>
        </is>
      </c>
      <c r="J843" s="44" t="inlineStr">
        <is>
          <t>2010-03-30</t>
        </is>
      </c>
      <c r="K843" s="43" t="n">
        <v>4115</v>
      </c>
      <c r="L843" s="44" t="inlineStr">
        <is>
          <t>2010-03-30</t>
        </is>
      </c>
      <c r="M843" s="44" t="inlineStr">
        <is>
          <t>2026-08-25</t>
        </is>
      </c>
      <c r="N843" s="43" t="n">
        <v>237</v>
      </c>
      <c r="O843" s="46" t="n">
        <v>-29.6289</v>
      </c>
      <c r="P843" s="46" t="n">
        <v>-76.94929999999999</v>
      </c>
      <c r="Q843" s="46" t="n">
        <v>87.7916</v>
      </c>
      <c r="R843" s="46" t="n">
        <v>-8.807600000000001</v>
      </c>
      <c r="S843" s="47">
        <f>IF($I843="Yes",$O843,"")</f>
        <v/>
      </c>
    </row>
    <row r="844">
      <c r="A844" s="48" t="inlineStr">
        <is>
          <t>IMB.AX</t>
        </is>
      </c>
      <c r="B844" s="49" t="inlineStr">
        <is>
          <t>Intelligent Monitoring Group Limited</t>
        </is>
      </c>
      <c r="C844" s="49" t="inlineStr">
        <is>
          <t>AU</t>
        </is>
      </c>
      <c r="D844" s="49" t="inlineStr">
        <is>
          <t>— not an index member —</t>
        </is>
      </c>
      <c r="E844" s="49" t="inlineStr">
        <is>
          <t>Industrials</t>
        </is>
      </c>
      <c r="F844" s="50" t="n">
        <v>263563280</v>
      </c>
      <c r="G844" s="49" t="inlineStr">
        <is>
          <t>nightly refresh</t>
        </is>
      </c>
      <c r="H844" s="48" t="n"/>
      <c r="I844" s="49" t="inlineStr">
        <is>
          <t>—</t>
        </is>
      </c>
      <c r="J844" s="49" t="inlineStr">
        <is>
          <t>1994-03-31</t>
        </is>
      </c>
      <c r="K844" s="48" t="n">
        <v>6780</v>
      </c>
      <c r="L844" s="49" t="inlineStr">
        <is>
          <t>2000-01-03</t>
        </is>
      </c>
      <c r="M844" s="49" t="inlineStr">
        <is>
          <t>2026-08-26</t>
        </is>
      </c>
      <c r="N844" s="48" t="n">
        <v>152</v>
      </c>
      <c r="O844" s="51" t="n">
        <v>-51.4217</v>
      </c>
      <c r="P844" s="51" t="n">
        <v>-91.66670000000001</v>
      </c>
      <c r="Q844" s="51" t="n">
        <v>125.4698</v>
      </c>
      <c r="R844" s="51" t="n">
        <v>-10.3896</v>
      </c>
      <c r="S844" s="52">
        <f>IF($I844="Yes",$O844,"")</f>
        <v/>
      </c>
    </row>
    <row r="845">
      <c r="A845" s="43" t="inlineStr">
        <is>
          <t>IPH.AX</t>
        </is>
      </c>
      <c r="B845" s="44" t="inlineStr">
        <is>
          <t>IPH Limited</t>
        </is>
      </c>
      <c r="C845" s="44" t="inlineStr">
        <is>
          <t>AU</t>
        </is>
      </c>
      <c r="D845" s="44" t="inlineStr">
        <is>
          <t>— not an index member —</t>
        </is>
      </c>
      <c r="E845" s="44" t="inlineStr">
        <is>
          <t>Industrials</t>
        </is>
      </c>
      <c r="F845" s="45" t="n">
        <v>866926336</v>
      </c>
      <c r="G845" s="44" t="inlineStr">
        <is>
          <t>nightly refresh</t>
        </is>
      </c>
      <c r="H845" s="43" t="n"/>
      <c r="I845" s="44" t="inlineStr">
        <is>
          <t>—</t>
        </is>
      </c>
      <c r="J845" s="44" t="inlineStr">
        <is>
          <t>2014-11-19</t>
        </is>
      </c>
      <c r="K845" s="43" t="n">
        <v>2979</v>
      </c>
      <c r="L845" s="44" t="inlineStr">
        <is>
          <t>2014-11-19</t>
        </is>
      </c>
      <c r="M845" s="44" t="inlineStr">
        <is>
          <t>2026-08-26</t>
        </is>
      </c>
      <c r="N845" s="43" t="n">
        <v>154</v>
      </c>
      <c r="O845" s="46" t="n">
        <v>-22.9744</v>
      </c>
      <c r="P845" s="46" t="n">
        <v>-48.304</v>
      </c>
      <c r="Q845" s="46" t="n">
        <v>45.1685</v>
      </c>
      <c r="R845" s="46" t="n">
        <v>-18.1832</v>
      </c>
      <c r="S845" s="47">
        <f>IF($I845="Yes",$O845,"")</f>
        <v/>
      </c>
    </row>
    <row r="846">
      <c r="A846" s="48" t="inlineStr">
        <is>
          <t>MMS.AX</t>
        </is>
      </c>
      <c r="B846" s="49" t="inlineStr">
        <is>
          <t>McMillan Shakespeare Limited</t>
        </is>
      </c>
      <c r="C846" s="49" t="inlineStr">
        <is>
          <t>AU</t>
        </is>
      </c>
      <c r="D846" s="49" t="inlineStr">
        <is>
          <t>— not an index member —</t>
        </is>
      </c>
      <c r="E846" s="49" t="inlineStr">
        <is>
          <t>Industrials</t>
        </is>
      </c>
      <c r="F846" s="50" t="n">
        <v>1356646016</v>
      </c>
      <c r="G846" s="49" t="inlineStr">
        <is>
          <t>nightly refresh</t>
        </is>
      </c>
      <c r="H846" s="48" t="n"/>
      <c r="I846" s="49" t="inlineStr">
        <is>
          <t>—</t>
        </is>
      </c>
      <c r="J846" s="49" t="inlineStr">
        <is>
          <t>2004-03-12</t>
        </is>
      </c>
      <c r="K846" s="48" t="n">
        <v>5686</v>
      </c>
      <c r="L846" s="49" t="inlineStr">
        <is>
          <t>2004-03-12</t>
        </is>
      </c>
      <c r="M846" s="49" t="inlineStr">
        <is>
          <t>2026-08-26</t>
        </is>
      </c>
      <c r="N846" s="48" t="n">
        <v>272</v>
      </c>
      <c r="O846" s="51" t="n">
        <v>-20.8001</v>
      </c>
      <c r="P846" s="51" t="n">
        <v>-67.9628</v>
      </c>
      <c r="Q846" s="51" t="n">
        <v>64.58159999999999</v>
      </c>
      <c r="R846" s="51" t="n">
        <v>0</v>
      </c>
      <c r="S846" s="52">
        <f>IF($I846="Yes",$O846,"")</f>
        <v/>
      </c>
    </row>
    <row r="847">
      <c r="A847" s="43" t="inlineStr">
        <is>
          <t>POOL</t>
        </is>
      </c>
      <c r="B847" s="44" t="inlineStr">
        <is>
          <t>Pool Corporation</t>
        </is>
      </c>
      <c r="C847" s="44" t="inlineStr">
        <is>
          <t>US</t>
        </is>
      </c>
      <c r="D847" s="44" t="inlineStr">
        <is>
          <t>— not an index member —</t>
        </is>
      </c>
      <c r="E847" s="44" t="inlineStr">
        <is>
          <t>Industrials</t>
        </is>
      </c>
      <c r="F847" s="45" t="n">
        <v>6845870080</v>
      </c>
      <c r="G847" s="44" t="inlineStr">
        <is>
          <t>nightly refresh</t>
        </is>
      </c>
      <c r="H847" s="43" t="n"/>
      <c r="I847" s="44" t="inlineStr">
        <is>
          <t>—</t>
        </is>
      </c>
      <c r="J847" s="44" t="inlineStr">
        <is>
          <t>1995-10-13</t>
        </is>
      </c>
      <c r="K847" s="43" t="n">
        <v>6701</v>
      </c>
      <c r="L847" s="44" t="inlineStr">
        <is>
          <t>2000-01-03</t>
        </is>
      </c>
      <c r="M847" s="44" t="inlineStr">
        <is>
          <t>2026-08-25</t>
        </is>
      </c>
      <c r="N847" s="43" t="n">
        <v>354</v>
      </c>
      <c r="O847" s="46" t="n">
        <v>-19.2587</v>
      </c>
      <c r="P847" s="46" t="n">
        <v>-59.0072</v>
      </c>
      <c r="Q847" s="46" t="n">
        <v>49.4894</v>
      </c>
      <c r="R847" s="46" t="n">
        <v>-43.5358</v>
      </c>
      <c r="S847" s="47">
        <f>IF($I847="Yes",$O847,"")</f>
        <v/>
      </c>
    </row>
    <row r="848">
      <c r="A848" s="48" t="inlineStr">
        <is>
          <t>QUB.AX</t>
        </is>
      </c>
      <c r="B848" s="49" t="inlineStr">
        <is>
          <t>Qube Holdings Limited</t>
        </is>
      </c>
      <c r="C848" s="49" t="inlineStr">
        <is>
          <t>AU</t>
        </is>
      </c>
      <c r="D848" s="49" t="inlineStr">
        <is>
          <t>— not an index member —</t>
        </is>
      </c>
      <c r="E848" s="49" t="inlineStr">
        <is>
          <t>Industrials</t>
        </is>
      </c>
      <c r="F848" s="50" t="n">
        <v>9046805504</v>
      </c>
      <c r="G848" s="49" t="inlineStr">
        <is>
          <t>nightly refresh</t>
        </is>
      </c>
      <c r="H848" s="48" t="n"/>
      <c r="I848" s="49" t="inlineStr">
        <is>
          <t>—</t>
        </is>
      </c>
      <c r="J848" s="49" t="inlineStr">
        <is>
          <t>2007-01-03</t>
        </is>
      </c>
      <c r="K848" s="48" t="n">
        <v>4964</v>
      </c>
      <c r="L848" s="49" t="inlineStr">
        <is>
          <t>2007-01-03</t>
        </is>
      </c>
      <c r="M848" s="49" t="inlineStr">
        <is>
          <t>2026-08-18</t>
        </is>
      </c>
      <c r="N848" s="48" t="n">
        <v>206</v>
      </c>
      <c r="O848" s="51" t="n">
        <v>-16.5084</v>
      </c>
      <c r="P848" s="51" t="n">
        <v>-50.1495</v>
      </c>
      <c r="Q848" s="51" t="n">
        <v>37.5091</v>
      </c>
      <c r="R848" s="51" t="n">
        <v>-0.3899</v>
      </c>
      <c r="S848" s="52">
        <f>IF($I848="Yes",$O848,"")</f>
        <v/>
      </c>
    </row>
    <row r="849">
      <c r="A849" s="43" t="inlineStr">
        <is>
          <t>AOF.AX</t>
        </is>
      </c>
      <c r="B849" s="44" t="inlineStr">
        <is>
          <t>Australian Unity Office Fund</t>
        </is>
      </c>
      <c r="C849" s="44" t="inlineStr">
        <is>
          <t>AU</t>
        </is>
      </c>
      <c r="D849" s="44" t="inlineStr">
        <is>
          <t>— not an index member —</t>
        </is>
      </c>
      <c r="E849" s="44" t="inlineStr">
        <is>
          <t>Real Estate</t>
        </is>
      </c>
      <c r="F849" s="45" t="n">
        <v>59999800</v>
      </c>
      <c r="G849" s="44" t="inlineStr">
        <is>
          <t>nightly refresh</t>
        </is>
      </c>
      <c r="H849" s="43" t="n"/>
      <c r="I849" s="44" t="inlineStr">
        <is>
          <t>—</t>
        </is>
      </c>
      <c r="J849" s="44" t="inlineStr">
        <is>
          <t>2016-07-26</t>
        </is>
      </c>
      <c r="K849" s="43" t="n">
        <v>2499</v>
      </c>
      <c r="L849" s="44" t="inlineStr">
        <is>
          <t>2016-07-26</t>
        </is>
      </c>
      <c r="M849" s="44" t="inlineStr">
        <is>
          <t>2026-06-10</t>
        </is>
      </c>
      <c r="N849" s="43" t="n">
        <v>72</v>
      </c>
      <c r="O849" s="46" t="n">
        <v>-22.0186</v>
      </c>
      <c r="P849" s="46" t="n">
        <v>-50.5768</v>
      </c>
      <c r="Q849" s="46" t="n">
        <v>30.7804</v>
      </c>
      <c r="R849" s="46" t="n">
        <v>-24.7423</v>
      </c>
      <c r="S849" s="47">
        <f>IF($I849="Yes",$O849,"")</f>
        <v/>
      </c>
    </row>
    <row r="850">
      <c r="A850" s="48" t="inlineStr">
        <is>
          <t>ASK.AX</t>
        </is>
      </c>
      <c r="B850" s="49" t="inlineStr">
        <is>
          <t>Abacus Storage King</t>
        </is>
      </c>
      <c r="C850" s="49" t="inlineStr">
        <is>
          <t>AU</t>
        </is>
      </c>
      <c r="D850" s="49" t="inlineStr">
        <is>
          <t>— not an index member —</t>
        </is>
      </c>
      <c r="E850" s="49" t="inlineStr">
        <is>
          <t>Real Estate</t>
        </is>
      </c>
      <c r="F850" s="50" t="n">
        <v>1741186432</v>
      </c>
      <c r="G850" s="49" t="inlineStr">
        <is>
          <t>nightly refresh</t>
        </is>
      </c>
      <c r="H850" s="48" t="n"/>
      <c r="I850" s="49" t="inlineStr">
        <is>
          <t>—</t>
        </is>
      </c>
      <c r="J850" s="49" t="inlineStr">
        <is>
          <t>2023-08-01</t>
        </is>
      </c>
      <c r="K850" s="48" t="n">
        <v>778</v>
      </c>
      <c r="L850" s="49" t="inlineStr">
        <is>
          <t>2023-08-01</t>
        </is>
      </c>
      <c r="M850" s="49" t="inlineStr">
        <is>
          <t>2026-08-25</t>
        </is>
      </c>
      <c r="N850" s="48" t="n">
        <v>33</v>
      </c>
      <c r="O850" s="51" t="n">
        <v>-15.9324</v>
      </c>
      <c r="P850" s="51" t="n">
        <v>-30.0353</v>
      </c>
      <c r="Q850" s="51" t="n">
        <v>31.6175</v>
      </c>
      <c r="R850" s="51" t="n">
        <v>-28.5714</v>
      </c>
      <c r="S850" s="52">
        <f>IF($I850="Yes",$O850,"")</f>
        <v/>
      </c>
    </row>
    <row r="851">
      <c r="A851" s="43" t="inlineStr">
        <is>
          <t>AVB</t>
        </is>
      </c>
      <c r="B851" s="44" t="inlineStr">
        <is>
          <t>AvalonBay Communities Inc</t>
        </is>
      </c>
      <c r="C851" s="44" t="inlineStr">
        <is>
          <t>US</t>
        </is>
      </c>
      <c r="D851" s="44" t="inlineStr">
        <is>
          <t>— not an index member —</t>
        </is>
      </c>
      <c r="E851" s="44" t="inlineStr">
        <is>
          <t>Real Estate</t>
        </is>
      </c>
      <c r="F851" s="45" t="n">
        <v>26283393024</v>
      </c>
      <c r="G851" s="44" t="inlineStr">
        <is>
          <t>nightly refresh</t>
        </is>
      </c>
      <c r="H851" s="43" t="n"/>
      <c r="I851" s="44" t="inlineStr">
        <is>
          <t>—</t>
        </is>
      </c>
      <c r="J851" s="44" t="inlineStr">
        <is>
          <t>1994-03-11</t>
        </is>
      </c>
      <c r="K851" s="43" t="n">
        <v>6700</v>
      </c>
      <c r="L851" s="44" t="inlineStr">
        <is>
          <t>2000-01-03</t>
        </is>
      </c>
      <c r="M851" s="44" t="inlineStr">
        <is>
          <t>2026-08-24</t>
        </is>
      </c>
      <c r="N851" s="43" t="n">
        <v>313</v>
      </c>
      <c r="O851" s="46" t="n">
        <v>-16.5946</v>
      </c>
      <c r="P851" s="46" t="n">
        <v>-62.5304</v>
      </c>
      <c r="Q851" s="46" t="n">
        <v>36.5688</v>
      </c>
      <c r="R851" s="46" t="n">
        <v>-4.1862</v>
      </c>
      <c r="S851" s="47">
        <f>IF($I851="Yes",$O851,"")</f>
        <v/>
      </c>
    </row>
    <row r="852">
      <c r="A852" s="48" t="inlineStr">
        <is>
          <t>CAR-UN.TO</t>
        </is>
      </c>
      <c r="B852" s="49" t="inlineStr">
        <is>
          <t>Canadian Apartment Properties Real Estate Investment Trust</t>
        </is>
      </c>
      <c r="C852" s="49" t="inlineStr">
        <is>
          <t>CA</t>
        </is>
      </c>
      <c r="D852" s="49" t="inlineStr">
        <is>
          <t>— not an index member —</t>
        </is>
      </c>
      <c r="E852" s="49" t="inlineStr">
        <is>
          <t>Real Estate</t>
        </is>
      </c>
      <c r="F852" s="50" t="n">
        <v>5191567360</v>
      </c>
      <c r="G852" s="49" t="inlineStr">
        <is>
          <t>nightly refresh</t>
        </is>
      </c>
      <c r="H852" s="48" t="n"/>
      <c r="I852" s="49" t="inlineStr">
        <is>
          <t>—</t>
        </is>
      </c>
      <c r="J852" s="49" t="inlineStr">
        <is>
          <t>1999-07-15</t>
        </is>
      </c>
      <c r="K852" s="48" t="n">
        <v>6739</v>
      </c>
      <c r="L852" s="49" t="inlineStr">
        <is>
          <t>2000-01-03</t>
        </is>
      </c>
      <c r="M852" s="49" t="inlineStr">
        <is>
          <t>2026-08-25</t>
        </is>
      </c>
      <c r="N852" s="48" t="n">
        <v>269</v>
      </c>
      <c r="O852" s="51" t="n">
        <v>-15.3078</v>
      </c>
      <c r="P852" s="51" t="n">
        <v>-38.2444</v>
      </c>
      <c r="Q852" s="51" t="n">
        <v>29.3519</v>
      </c>
      <c r="R852" s="51" t="n">
        <v>-19.5417</v>
      </c>
      <c r="S852" s="52">
        <f>IF($I852="Yes",$O852,"")</f>
        <v/>
      </c>
    </row>
    <row r="853">
      <c r="A853" s="43" t="inlineStr">
        <is>
          <t>CHP-UN.TO</t>
        </is>
      </c>
      <c r="B853" s="44" t="inlineStr">
        <is>
          <t>Choice Properties Real Estate Investment Trust</t>
        </is>
      </c>
      <c r="C853" s="44" t="inlineStr">
        <is>
          <t>CA</t>
        </is>
      </c>
      <c r="D853" s="44" t="inlineStr">
        <is>
          <t>— not an index member —</t>
        </is>
      </c>
      <c r="E853" s="44" t="inlineStr">
        <is>
          <t>Real Estate</t>
        </is>
      </c>
      <c r="F853" s="45" t="n">
        <v>11117733888</v>
      </c>
      <c r="G853" s="44" t="inlineStr">
        <is>
          <t>nightly refresh</t>
        </is>
      </c>
      <c r="H853" s="43" t="n"/>
      <c r="I853" s="44" t="inlineStr">
        <is>
          <t>—</t>
        </is>
      </c>
      <c r="J853" s="44" t="inlineStr">
        <is>
          <t>2013-07-05</t>
        </is>
      </c>
      <c r="K853" s="43" t="n">
        <v>3297</v>
      </c>
      <c r="L853" s="44" t="inlineStr">
        <is>
          <t>2013-07-05</t>
        </is>
      </c>
      <c r="M853" s="44" t="inlineStr">
        <is>
          <t>2026-08-25</t>
        </is>
      </c>
      <c r="N853" s="43" t="n">
        <v>120</v>
      </c>
      <c r="O853" s="46" t="n">
        <v>-10.1002</v>
      </c>
      <c r="P853" s="46" t="n">
        <v>-28.8928</v>
      </c>
      <c r="Q853" s="46" t="n">
        <v>21.9996</v>
      </c>
      <c r="R853" s="46" t="n">
        <v>-7.4604</v>
      </c>
      <c r="S853" s="47">
        <f>IF($I853="Yes",$O853,"")</f>
        <v/>
      </c>
    </row>
    <row r="854">
      <c r="A854" s="48" t="inlineStr">
        <is>
          <t>CMW.AX</t>
        </is>
      </c>
      <c r="B854" s="49" t="inlineStr">
        <is>
          <t>Cromwell Property Group</t>
        </is>
      </c>
      <c r="C854" s="49" t="inlineStr">
        <is>
          <t>AU</t>
        </is>
      </c>
      <c r="D854" s="49" t="inlineStr">
        <is>
          <t>— not an index member —</t>
        </is>
      </c>
      <c r="E854" s="49" t="inlineStr">
        <is>
          <t>Real Estate</t>
        </is>
      </c>
      <c r="F854" s="50" t="n">
        <v>1034452352</v>
      </c>
      <c r="G854" s="49" t="inlineStr">
        <is>
          <t>nightly refresh</t>
        </is>
      </c>
      <c r="H854" s="48" t="n"/>
      <c r="I854" s="49" t="inlineStr">
        <is>
          <t>—</t>
        </is>
      </c>
      <c r="J854" s="49" t="inlineStr">
        <is>
          <t>1988-01-29</t>
        </is>
      </c>
      <c r="K854" s="48" t="n">
        <v>6780</v>
      </c>
      <c r="L854" s="49" t="inlineStr">
        <is>
          <t>2000-01-03</t>
        </is>
      </c>
      <c r="M854" s="49" t="inlineStr">
        <is>
          <t>2026-08-26</t>
        </is>
      </c>
      <c r="N854" s="48" t="n">
        <v>190</v>
      </c>
      <c r="O854" s="51" t="n">
        <v>-19.4774</v>
      </c>
      <c r="P854" s="51" t="n">
        <v>-53.7501</v>
      </c>
      <c r="Q854" s="51" t="n">
        <v>47.3097</v>
      </c>
      <c r="R854" s="51" t="n">
        <v>-14.2212</v>
      </c>
      <c r="S854" s="52">
        <f>IF($I854="Yes",$O854,"")</f>
        <v/>
      </c>
    </row>
    <row r="855">
      <c r="A855" s="43" t="inlineStr">
        <is>
          <t>EQR</t>
        </is>
      </c>
      <c r="B855" s="44" t="inlineStr">
        <is>
          <t>Equity Residential</t>
        </is>
      </c>
      <c r="C855" s="44" t="inlineStr">
        <is>
          <t>US</t>
        </is>
      </c>
      <c r="D855" s="44" t="inlineStr">
        <is>
          <t>— not an index member —</t>
        </is>
      </c>
      <c r="E855" s="44" t="inlineStr">
        <is>
          <t>Real Estate</t>
        </is>
      </c>
      <c r="F855" s="45" t="n">
        <v>24611481600</v>
      </c>
      <c r="G855" s="44" t="inlineStr">
        <is>
          <t>nightly refresh</t>
        </is>
      </c>
      <c r="H855" s="43" t="n"/>
      <c r="I855" s="44" t="inlineStr">
        <is>
          <t>—</t>
        </is>
      </c>
      <c r="J855" s="44" t="inlineStr">
        <is>
          <t>1993-08-12</t>
        </is>
      </c>
      <c r="K855" s="43" t="n">
        <v>6699</v>
      </c>
      <c r="L855" s="44" t="inlineStr">
        <is>
          <t>2000-01-03</t>
        </is>
      </c>
      <c r="M855" s="44" t="inlineStr">
        <is>
          <t>2026-08-21</t>
        </is>
      </c>
      <c r="N855" s="43" t="n">
        <v>310</v>
      </c>
      <c r="O855" s="46" t="n">
        <v>-16.6348</v>
      </c>
      <c r="P855" s="46" t="n">
        <v>-65.3959</v>
      </c>
      <c r="Q855" s="46" t="n">
        <v>36.6336</v>
      </c>
      <c r="R855" s="46" t="n">
        <v>-10.965</v>
      </c>
      <c r="S855" s="47">
        <f>IF($I855="Yes",$O855,"")</f>
        <v/>
      </c>
    </row>
    <row r="856">
      <c r="A856" s="48" t="inlineStr">
        <is>
          <t>GOZ.AX</t>
        </is>
      </c>
      <c r="B856" s="49" t="inlineStr">
        <is>
          <t>Growthpoint Properties Australia</t>
        </is>
      </c>
      <c r="C856" s="49" t="inlineStr">
        <is>
          <t>AU</t>
        </is>
      </c>
      <c r="D856" s="49" t="inlineStr">
        <is>
          <t>— not an index member —</t>
        </is>
      </c>
      <c r="E856" s="49" t="inlineStr">
        <is>
          <t>Real Estate</t>
        </is>
      </c>
      <c r="F856" s="50" t="n">
        <v>1569586176</v>
      </c>
      <c r="G856" s="49" t="inlineStr">
        <is>
          <t>nightly refresh</t>
        </is>
      </c>
      <c r="H856" s="48" t="n"/>
      <c r="I856" s="49" t="inlineStr">
        <is>
          <t>—</t>
        </is>
      </c>
      <c r="J856" s="49" t="inlineStr">
        <is>
          <t>2007-07-04</t>
        </is>
      </c>
      <c r="K856" s="48" t="n">
        <v>4845</v>
      </c>
      <c r="L856" s="49" t="inlineStr">
        <is>
          <t>2007-07-04</t>
        </is>
      </c>
      <c r="M856" s="49" t="inlineStr">
        <is>
          <t>2026-08-26</t>
        </is>
      </c>
      <c r="N856" s="48" t="n">
        <v>163</v>
      </c>
      <c r="O856" s="51" t="n">
        <v>-20.23</v>
      </c>
      <c r="P856" s="51" t="n">
        <v>-81.81619999999999</v>
      </c>
      <c r="Q856" s="51" t="n">
        <v>33.0525</v>
      </c>
      <c r="R856" s="51" t="n">
        <v>-19.0478</v>
      </c>
      <c r="S856" s="52">
        <f>IF($I856="Yes",$O856,"")</f>
        <v/>
      </c>
    </row>
    <row r="857">
      <c r="A857" s="43" t="inlineStr">
        <is>
          <t>HMC.AX</t>
        </is>
      </c>
      <c r="B857" s="44" t="inlineStr">
        <is>
          <t>HMC Capital Limited</t>
        </is>
      </c>
      <c r="C857" s="44" t="inlineStr">
        <is>
          <t>AU</t>
        </is>
      </c>
      <c r="D857" s="44" t="inlineStr">
        <is>
          <t>— not an index member —</t>
        </is>
      </c>
      <c r="E857" s="44" t="inlineStr">
        <is>
          <t>Real Estate</t>
        </is>
      </c>
      <c r="F857" s="45" t="n">
        <v>1394641280</v>
      </c>
      <c r="G857" s="44" t="inlineStr">
        <is>
          <t>nightly refresh</t>
        </is>
      </c>
      <c r="H857" s="43" t="n"/>
      <c r="I857" s="44" t="inlineStr">
        <is>
          <t>—</t>
        </is>
      </c>
      <c r="J857" s="44" t="inlineStr">
        <is>
          <t>2021-12-30</t>
        </is>
      </c>
      <c r="K857" s="43" t="n">
        <v>1177</v>
      </c>
      <c r="L857" s="44" t="inlineStr">
        <is>
          <t>2021-12-30</t>
        </is>
      </c>
      <c r="M857" s="44" t="inlineStr">
        <is>
          <t>2026-08-26</t>
        </is>
      </c>
      <c r="N857" s="43" t="n">
        <v>51</v>
      </c>
      <c r="O857" s="46" t="n">
        <v>-41.5197</v>
      </c>
      <c r="P857" s="46" t="n">
        <v>-77.482</v>
      </c>
      <c r="Q857" s="46" t="n">
        <v>46.8515</v>
      </c>
      <c r="R857" s="46" t="n">
        <v>-27.8335</v>
      </c>
      <c r="S857" s="47">
        <f>IF($I857="Yes",$O857,"")</f>
        <v/>
      </c>
    </row>
    <row r="858">
      <c r="A858" s="48" t="inlineStr">
        <is>
          <t>JLL</t>
        </is>
      </c>
      <c r="B858" s="49" t="inlineStr">
        <is>
          <t>Jones Lang LaSalle Incorporated</t>
        </is>
      </c>
      <c r="C858" s="49" t="inlineStr">
        <is>
          <t>US</t>
        </is>
      </c>
      <c r="D858" s="49" t="inlineStr">
        <is>
          <t>— not an index member —</t>
        </is>
      </c>
      <c r="E858" s="49" t="inlineStr">
        <is>
          <t>Real Estate</t>
        </is>
      </c>
      <c r="F858" s="50" t="n">
        <v>17762654208</v>
      </c>
      <c r="G858" s="49" t="inlineStr">
        <is>
          <t>nightly refresh</t>
        </is>
      </c>
      <c r="H858" s="48" t="n"/>
      <c r="I858" s="49" t="inlineStr">
        <is>
          <t>—</t>
        </is>
      </c>
      <c r="J858" s="49" t="inlineStr">
        <is>
          <t>1997-07-17</t>
        </is>
      </c>
      <c r="K858" s="48" t="n">
        <v>6701</v>
      </c>
      <c r="L858" s="49" t="inlineStr">
        <is>
          <t>2000-01-03</t>
        </is>
      </c>
      <c r="M858" s="49" t="inlineStr">
        <is>
          <t>2026-08-25</t>
        </is>
      </c>
      <c r="N858" s="48" t="n">
        <v>346</v>
      </c>
      <c r="O858" s="51" t="n">
        <v>-22.7151</v>
      </c>
      <c r="P858" s="51" t="n">
        <v>-81.0304</v>
      </c>
      <c r="Q858" s="51" t="n">
        <v>63.1312</v>
      </c>
      <c r="R858" s="51" t="n">
        <v>-0.2666</v>
      </c>
      <c r="S858" s="52">
        <f>IF($I858="Yes",$O858,"")</f>
        <v/>
      </c>
    </row>
    <row r="859">
      <c r="A859" s="43" t="inlineStr">
        <is>
          <t>LIC.AX</t>
        </is>
      </c>
      <c r="B859" s="44" t="inlineStr">
        <is>
          <t>Lifestyle Communities Limited</t>
        </is>
      </c>
      <c r="C859" s="44" t="inlineStr">
        <is>
          <t>AU</t>
        </is>
      </c>
      <c r="D859" s="44" t="inlineStr">
        <is>
          <t>— not an index member —</t>
        </is>
      </c>
      <c r="E859" s="44" t="inlineStr">
        <is>
          <t>Real Estate</t>
        </is>
      </c>
      <c r="F859" s="45" t="n">
        <v>685396544</v>
      </c>
      <c r="G859" s="44" t="inlineStr">
        <is>
          <t>nightly refresh</t>
        </is>
      </c>
      <c r="H859" s="43" t="n"/>
      <c r="I859" s="44" t="inlineStr">
        <is>
          <t>—</t>
        </is>
      </c>
      <c r="J859" s="44" t="inlineStr">
        <is>
          <t>1998-12-31</t>
        </is>
      </c>
      <c r="K859" s="43" t="n">
        <v>6780</v>
      </c>
      <c r="L859" s="44" t="inlineStr">
        <is>
          <t>2000-01-03</t>
        </is>
      </c>
      <c r="M859" s="44" t="inlineStr">
        <is>
          <t>2026-08-26</t>
        </is>
      </c>
      <c r="N859" s="43" t="n">
        <v>251</v>
      </c>
      <c r="O859" s="46" t="n">
        <v>-32.4721</v>
      </c>
      <c r="P859" s="46" t="n">
        <v>-93.71210000000001</v>
      </c>
      <c r="Q859" s="46" t="n">
        <v>82.98779999999999</v>
      </c>
      <c r="R859" s="46" t="n">
        <v>-7.68</v>
      </c>
      <c r="S859" s="47">
        <f>IF($I859="Yes",$O859,"")</f>
        <v/>
      </c>
    </row>
    <row r="860">
      <c r="A860" s="48" t="inlineStr">
        <is>
          <t>ALAB</t>
        </is>
      </c>
      <c r="B860" s="49" t="inlineStr">
        <is>
          <t>Astera Labs, Inc.</t>
        </is>
      </c>
      <c r="C860" s="49" t="inlineStr">
        <is>
          <t>US</t>
        </is>
      </c>
      <c r="D860" s="49" t="inlineStr">
        <is>
          <t>— not an index member —</t>
        </is>
      </c>
      <c r="E860" s="49" t="inlineStr">
        <is>
          <t>Technology</t>
        </is>
      </c>
      <c r="F860" s="50" t="n">
        <v>50362724352</v>
      </c>
      <c r="G860" s="49" t="inlineStr">
        <is>
          <t>nightly refresh</t>
        </is>
      </c>
      <c r="H860" s="48" t="n"/>
      <c r="I860" s="49" t="inlineStr">
        <is>
          <t>—</t>
        </is>
      </c>
      <c r="J860" s="49" t="inlineStr">
        <is>
          <t>2024-03-20</t>
        </is>
      </c>
      <c r="K860" s="48" t="n">
        <v>610</v>
      </c>
      <c r="L860" s="49" t="inlineStr">
        <is>
          <t>2024-03-20</t>
        </is>
      </c>
      <c r="M860" s="49" t="inlineStr">
        <is>
          <t>2026-08-25</t>
        </is>
      </c>
      <c r="N860" s="48" t="n">
        <v>33</v>
      </c>
      <c r="O860" s="51" t="n">
        <v>-39.9286</v>
      </c>
      <c r="P860" s="51" t="n">
        <v>-64.0817</v>
      </c>
      <c r="Q860" s="51" t="n">
        <v>200.0973</v>
      </c>
      <c r="R860" s="51" t="n">
        <v>-43.4107</v>
      </c>
      <c r="S860" s="52">
        <f>IF($I860="Yes",$O860,"")</f>
        <v/>
      </c>
    </row>
    <row r="861">
      <c r="A861" s="43" t="inlineStr">
        <is>
          <t>AMD.TO</t>
        </is>
      </c>
      <c r="B861" s="44" t="inlineStr">
        <is>
          <t>Advanced Micro Devices, Inc.</t>
        </is>
      </c>
      <c r="C861" s="44" t="inlineStr">
        <is>
          <t>CA</t>
        </is>
      </c>
      <c r="D861" s="44" t="inlineStr">
        <is>
          <t>— not an index member —</t>
        </is>
      </c>
      <c r="E861" s="44" t="inlineStr">
        <is>
          <t>Technology</t>
        </is>
      </c>
      <c r="F861" s="45" t="n">
        <v>1021519069184</v>
      </c>
      <c r="G861" s="44" t="inlineStr">
        <is>
          <t>nightly refresh</t>
        </is>
      </c>
      <c r="H861" s="43" t="n"/>
      <c r="I861" s="44" t="inlineStr">
        <is>
          <t>—</t>
        </is>
      </c>
      <c r="J861" s="44" t="inlineStr">
        <is>
          <t>2022-07-26</t>
        </is>
      </c>
      <c r="K861" s="43" t="n">
        <v>1025</v>
      </c>
      <c r="L861" s="44" t="inlineStr">
        <is>
          <t>2022-07-26</t>
        </is>
      </c>
      <c r="M861" s="44" t="inlineStr">
        <is>
          <t>2026-08-25</t>
        </is>
      </c>
      <c r="N861" s="43" t="n">
        <v>62</v>
      </c>
      <c r="O861" s="46" t="n">
        <v>-26.7029</v>
      </c>
      <c r="P861" s="46" t="n">
        <v>-58.8647</v>
      </c>
      <c r="Q861" s="46" t="n">
        <v>116.6531</v>
      </c>
      <c r="R861" s="46" t="n">
        <v>-18.2933</v>
      </c>
      <c r="S861" s="47">
        <f>IF($I861="Yes",$O861,"")</f>
        <v/>
      </c>
    </row>
    <row r="862">
      <c r="A862" s="48" t="inlineStr">
        <is>
          <t>APX.AX</t>
        </is>
      </c>
      <c r="B862" s="49" t="inlineStr">
        <is>
          <t>Appen Limited</t>
        </is>
      </c>
      <c r="C862" s="49" t="inlineStr">
        <is>
          <t>AU</t>
        </is>
      </c>
      <c r="D862" s="49" t="inlineStr">
        <is>
          <t>— not an index member —</t>
        </is>
      </c>
      <c r="E862" s="49" t="inlineStr">
        <is>
          <t>Technology</t>
        </is>
      </c>
      <c r="F862" s="50" t="n">
        <v>327306752</v>
      </c>
      <c r="G862" s="49" t="inlineStr">
        <is>
          <t>nightly refresh</t>
        </is>
      </c>
      <c r="H862" s="48" t="n"/>
      <c r="I862" s="49" t="inlineStr">
        <is>
          <t>—</t>
        </is>
      </c>
      <c r="J862" s="49" t="inlineStr">
        <is>
          <t>2015-01-07</t>
        </is>
      </c>
      <c r="K862" s="48" t="n">
        <v>2947</v>
      </c>
      <c r="L862" s="49" t="inlineStr">
        <is>
          <t>2015-01-07</t>
        </is>
      </c>
      <c r="M862" s="49" t="inlineStr">
        <is>
          <t>2026-08-26</t>
        </is>
      </c>
      <c r="N862" s="48" t="n">
        <v>174</v>
      </c>
      <c r="O862" s="51" t="n">
        <v>-39.3981</v>
      </c>
      <c r="P862" s="51" t="n">
        <v>-92.6418</v>
      </c>
      <c r="Q862" s="51" t="n">
        <v>146.0861</v>
      </c>
      <c r="R862" s="51" t="n">
        <v>-26.5823</v>
      </c>
      <c r="S862" s="52">
        <f>IF($I862="Yes",$O862,"")</f>
        <v/>
      </c>
    </row>
    <row r="863">
      <c r="A863" s="43" t="inlineStr">
        <is>
          <t>ASML</t>
        </is>
      </c>
      <c r="B863" s="44" t="inlineStr">
        <is>
          <t>ASML Holding N.V.</t>
        </is>
      </c>
      <c r="C863" s="44" t="inlineStr">
        <is>
          <t>US</t>
        </is>
      </c>
      <c r="D863" s="44" t="inlineStr">
        <is>
          <t>— not an index member —</t>
        </is>
      </c>
      <c r="E863" s="44" t="inlineStr">
        <is>
          <t>Technology</t>
        </is>
      </c>
      <c r="F863" s="45" t="n">
        <v>670500323328</v>
      </c>
      <c r="G863" s="44" t="inlineStr">
        <is>
          <t>nightly refresh</t>
        </is>
      </c>
      <c r="H863" s="43" t="n"/>
      <c r="I863" s="44" t="inlineStr">
        <is>
          <t>—</t>
        </is>
      </c>
      <c r="J863" s="44" t="inlineStr">
        <is>
          <t>1995-03-15</t>
        </is>
      </c>
      <c r="K863" s="43" t="n">
        <v>6701</v>
      </c>
      <c r="L863" s="44" t="inlineStr">
        <is>
          <t>2000-01-03</t>
        </is>
      </c>
      <c r="M863" s="44" t="inlineStr">
        <is>
          <t>2026-08-25</t>
        </is>
      </c>
      <c r="N863" s="43" t="n">
        <v>378</v>
      </c>
      <c r="O863" s="46" t="n">
        <v>-23.4666</v>
      </c>
      <c r="P863" s="46" t="n">
        <v>-80.5814</v>
      </c>
      <c r="Q863" s="46" t="n">
        <v>66.1228</v>
      </c>
      <c r="R863" s="46" t="n">
        <v>-12.6775</v>
      </c>
      <c r="S863" s="47">
        <f>IF($I863="Yes",$O863,"")</f>
        <v/>
      </c>
    </row>
    <row r="864">
      <c r="A864" s="48" t="inlineStr">
        <is>
          <t>CRDO</t>
        </is>
      </c>
      <c r="B864" s="49" t="inlineStr">
        <is>
          <t>Credo Technology Group Holding Ltd</t>
        </is>
      </c>
      <c r="C864" s="49" t="inlineStr">
        <is>
          <t>US</t>
        </is>
      </c>
      <c r="D864" s="49" t="inlineStr">
        <is>
          <t>— not an index member —</t>
        </is>
      </c>
      <c r="E864" s="49" t="inlineStr">
        <is>
          <t>Technology</t>
        </is>
      </c>
      <c r="F864" s="50" t="n">
        <v>42565324800</v>
      </c>
      <c r="G864" s="49" t="inlineStr">
        <is>
          <t>nightly refresh</t>
        </is>
      </c>
      <c r="H864" s="48" t="n"/>
      <c r="I864" s="49" t="inlineStr">
        <is>
          <t>—</t>
        </is>
      </c>
      <c r="J864" s="49" t="inlineStr">
        <is>
          <t>2022-01-27</t>
        </is>
      </c>
      <c r="K864" s="48" t="n">
        <v>1148</v>
      </c>
      <c r="L864" s="49" t="inlineStr">
        <is>
          <t>2022-01-27</t>
        </is>
      </c>
      <c r="M864" s="49" t="inlineStr">
        <is>
          <t>2026-08-25</t>
        </is>
      </c>
      <c r="N864" s="48" t="n">
        <v>67</v>
      </c>
      <c r="O864" s="51" t="n">
        <v>-28.5993</v>
      </c>
      <c r="P864" s="51" t="n">
        <v>-62.2302</v>
      </c>
      <c r="Q864" s="51" t="n">
        <v>210.5818</v>
      </c>
      <c r="R864" s="51" t="n">
        <v>-26.6174</v>
      </c>
      <c r="S864" s="52">
        <f>IF($I864="Yes",$O864,"")</f>
        <v/>
      </c>
    </row>
    <row r="865">
      <c r="A865" s="43" t="inlineStr">
        <is>
          <t>EML.AX</t>
        </is>
      </c>
      <c r="B865" s="44" t="inlineStr">
        <is>
          <t>EML Payments Limited</t>
        </is>
      </c>
      <c r="C865" s="44" t="inlineStr">
        <is>
          <t>AU</t>
        </is>
      </c>
      <c r="D865" s="44" t="inlineStr">
        <is>
          <t>— not an index member —</t>
        </is>
      </c>
      <c r="E865" s="44" t="inlineStr">
        <is>
          <t>Technology</t>
        </is>
      </c>
      <c r="F865" s="45" t="n">
        <v>89579088</v>
      </c>
      <c r="G865" s="44" t="inlineStr">
        <is>
          <t>nightly refresh</t>
        </is>
      </c>
      <c r="H865" s="43" t="n"/>
      <c r="I865" s="44" t="inlineStr">
        <is>
          <t>—</t>
        </is>
      </c>
      <c r="J865" s="44" t="inlineStr">
        <is>
          <t>2006-01-17</t>
        </is>
      </c>
      <c r="K865" s="43" t="n">
        <v>5213</v>
      </c>
      <c r="L865" s="44" t="inlineStr">
        <is>
          <t>2006-01-17</t>
        </is>
      </c>
      <c r="M865" s="44" t="inlineStr">
        <is>
          <t>2026-08-26</t>
        </is>
      </c>
      <c r="N865" s="43" t="n">
        <v>228</v>
      </c>
      <c r="O865" s="46" t="n">
        <v>-39.019</v>
      </c>
      <c r="P865" s="46" t="n">
        <v>-91.0275</v>
      </c>
      <c r="Q865" s="46" t="n">
        <v>139.4039</v>
      </c>
      <c r="R865" s="46" t="n">
        <v>-79.0393</v>
      </c>
      <c r="S865" s="47">
        <f>IF($I865="Yes",$O865,"")</f>
        <v/>
      </c>
    </row>
    <row r="866">
      <c r="A866" s="48" t="inlineStr">
        <is>
          <t>ENPH</t>
        </is>
      </c>
      <c r="B866" s="49" t="inlineStr">
        <is>
          <t>Enphase Energy, Inc.</t>
        </is>
      </c>
      <c r="C866" s="49" t="inlineStr">
        <is>
          <t>US</t>
        </is>
      </c>
      <c r="D866" s="49" t="inlineStr">
        <is>
          <t>— not an index member —</t>
        </is>
      </c>
      <c r="E866" s="49" t="inlineStr">
        <is>
          <t>Technology</t>
        </is>
      </c>
      <c r="F866" s="50" t="n">
        <v>5076336640</v>
      </c>
      <c r="G866" s="49" t="inlineStr">
        <is>
          <t>nightly refresh</t>
        </is>
      </c>
      <c r="H866" s="48" t="n"/>
      <c r="I866" s="49" t="inlineStr">
        <is>
          <t>—</t>
        </is>
      </c>
      <c r="J866" s="49" t="inlineStr">
        <is>
          <t>2012-03-30</t>
        </is>
      </c>
      <c r="K866" s="48" t="n">
        <v>3621</v>
      </c>
      <c r="L866" s="49" t="inlineStr">
        <is>
          <t>2012-03-30</t>
        </is>
      </c>
      <c r="M866" s="49" t="inlineStr">
        <is>
          <t>2026-08-25</t>
        </is>
      </c>
      <c r="N866" s="48" t="n">
        <v>210</v>
      </c>
      <c r="O866" s="51" t="n">
        <v>-42.994</v>
      </c>
      <c r="P866" s="51" t="n">
        <v>-89.0492</v>
      </c>
      <c r="Q866" s="51" t="n">
        <v>185.8099</v>
      </c>
      <c r="R866" s="51" t="n">
        <v>-49.3491</v>
      </c>
      <c r="S866" s="52">
        <f>IF($I866="Yes",$O866,"")</f>
        <v/>
      </c>
    </row>
    <row r="867">
      <c r="A867" s="43" t="inlineStr">
        <is>
          <t>EPAM</t>
        </is>
      </c>
      <c r="B867" s="44" t="inlineStr">
        <is>
          <t>EPAM Systems, Inc.</t>
        </is>
      </c>
      <c r="C867" s="44" t="inlineStr">
        <is>
          <t>US</t>
        </is>
      </c>
      <c r="D867" s="44" t="inlineStr">
        <is>
          <t>— not an index member —</t>
        </is>
      </c>
      <c r="E867" s="44" t="inlineStr">
        <is>
          <t>Technology</t>
        </is>
      </c>
      <c r="F867" s="45" t="n">
        <v>5641552384</v>
      </c>
      <c r="G867" s="44" t="inlineStr">
        <is>
          <t>nightly refresh</t>
        </is>
      </c>
      <c r="H867" s="43" t="n"/>
      <c r="I867" s="44" t="inlineStr">
        <is>
          <t>—</t>
        </is>
      </c>
      <c r="J867" s="44" t="inlineStr">
        <is>
          <t>2012-02-08</t>
        </is>
      </c>
      <c r="K867" s="43" t="n">
        <v>3657</v>
      </c>
      <c r="L867" s="44" t="inlineStr">
        <is>
          <t>2012-02-08</t>
        </is>
      </c>
      <c r="M867" s="44" t="inlineStr">
        <is>
          <t>2026-08-25</t>
        </is>
      </c>
      <c r="N867" s="43" t="n">
        <v>198</v>
      </c>
      <c r="O867" s="46" t="n">
        <v>-25.5457</v>
      </c>
      <c r="P867" s="46" t="n">
        <v>-75.90300000000001</v>
      </c>
      <c r="Q867" s="46" t="n">
        <v>67.9177</v>
      </c>
      <c r="R867" s="46" t="n">
        <v>-49.7371</v>
      </c>
      <c r="S867" s="47">
        <f>IF($I867="Yes",$O867,"")</f>
        <v/>
      </c>
    </row>
    <row r="868">
      <c r="A868" s="48" t="inlineStr">
        <is>
          <t>NET</t>
        </is>
      </c>
      <c r="B868" s="49" t="inlineStr">
        <is>
          <t>Cloudflare, Inc.</t>
        </is>
      </c>
      <c r="C868" s="49" t="inlineStr">
        <is>
          <t>US</t>
        </is>
      </c>
      <c r="D868" s="49" t="inlineStr">
        <is>
          <t>— not an index member —</t>
        </is>
      </c>
      <c r="E868" s="49" t="inlineStr">
        <is>
          <t>Technology</t>
        </is>
      </c>
      <c r="F868" s="50" t="n">
        <v>101443551232</v>
      </c>
      <c r="G868" s="49" t="inlineStr">
        <is>
          <t>nightly refresh</t>
        </is>
      </c>
      <c r="H868" s="48" t="n"/>
      <c r="I868" s="49" t="inlineStr">
        <is>
          <t>—</t>
        </is>
      </c>
      <c r="J868" s="49" t="inlineStr">
        <is>
          <t>2019-09-13</t>
        </is>
      </c>
      <c r="K868" s="48" t="n">
        <v>1746</v>
      </c>
      <c r="L868" s="49" t="inlineStr">
        <is>
          <t>2019-09-13</t>
        </is>
      </c>
      <c r="M868" s="49" t="inlineStr">
        <is>
          <t>2026-08-25</t>
        </is>
      </c>
      <c r="N868" s="48" t="n">
        <v>112</v>
      </c>
      <c r="O868" s="51" t="n">
        <v>-30.1732</v>
      </c>
      <c r="P868" s="51" t="n">
        <v>-82.9273</v>
      </c>
      <c r="Q868" s="51" t="n">
        <v>131.52</v>
      </c>
      <c r="R868" s="51" t="n">
        <v>-16.4469</v>
      </c>
      <c r="S868" s="52">
        <f>IF($I868="Yes",$O868,"")</f>
        <v/>
      </c>
    </row>
    <row r="869">
      <c r="A869" s="43" t="inlineStr">
        <is>
          <t>PAYC</t>
        </is>
      </c>
      <c r="B869" s="44" t="inlineStr">
        <is>
          <t>Paycom Software, Inc.</t>
        </is>
      </c>
      <c r="C869" s="44" t="inlineStr">
        <is>
          <t>US</t>
        </is>
      </c>
      <c r="D869" s="44" t="inlineStr">
        <is>
          <t>— not an index member —</t>
        </is>
      </c>
      <c r="E869" s="44" t="inlineStr">
        <is>
          <t>Technology</t>
        </is>
      </c>
      <c r="F869" s="45" t="n">
        <v>10470588416</v>
      </c>
      <c r="G869" s="44" t="inlineStr">
        <is>
          <t>nightly refresh</t>
        </is>
      </c>
      <c r="H869" s="43" t="n"/>
      <c r="I869" s="44" t="inlineStr">
        <is>
          <t>—</t>
        </is>
      </c>
      <c r="J869" s="44" t="inlineStr">
        <is>
          <t>2014-04-15</t>
        </is>
      </c>
      <c r="K869" s="43" t="n">
        <v>3109</v>
      </c>
      <c r="L869" s="44" t="inlineStr">
        <is>
          <t>2014-04-15</t>
        </is>
      </c>
      <c r="M869" s="44" t="inlineStr">
        <is>
          <t>2026-08-25</t>
        </is>
      </c>
      <c r="N869" s="43" t="n">
        <v>183</v>
      </c>
      <c r="O869" s="46" t="n">
        <v>-26.2457</v>
      </c>
      <c r="P869" s="46" t="n">
        <v>-62.2405</v>
      </c>
      <c r="Q869" s="46" t="n">
        <v>79.79389999999999</v>
      </c>
      <c r="R869" s="46" t="n">
        <v>-0.7539</v>
      </c>
      <c r="S869" s="47">
        <f>IF($I869="Yes",$O869,"")</f>
        <v/>
      </c>
    </row>
    <row r="870">
      <c r="A870" s="48" t="inlineStr">
        <is>
          <t>QRVO</t>
        </is>
      </c>
      <c r="B870" s="49" t="inlineStr">
        <is>
          <t>Qorvo, Inc.</t>
        </is>
      </c>
      <c r="C870" s="49" t="inlineStr">
        <is>
          <t>US</t>
        </is>
      </c>
      <c r="D870" s="49" t="inlineStr">
        <is>
          <t>— not an index member —</t>
        </is>
      </c>
      <c r="E870" s="49" t="inlineStr">
        <is>
          <t>Technology</t>
        </is>
      </c>
      <c r="F870" s="50" t="n">
        <v>8392965120</v>
      </c>
      <c r="G870" s="49" t="inlineStr">
        <is>
          <t>nightly refresh</t>
        </is>
      </c>
      <c r="H870" s="48" t="n"/>
      <c r="I870" s="49" t="inlineStr">
        <is>
          <t>—</t>
        </is>
      </c>
      <c r="J870" s="49" t="inlineStr">
        <is>
          <t>2015-01-02</t>
        </is>
      </c>
      <c r="K870" s="48" t="n">
        <v>2928</v>
      </c>
      <c r="L870" s="49" t="inlineStr">
        <is>
          <t>2015-01-02</t>
        </is>
      </c>
      <c r="M870" s="49" t="inlineStr">
        <is>
          <t>2026-08-25</t>
        </is>
      </c>
      <c r="N870" s="48" t="n">
        <v>187</v>
      </c>
      <c r="O870" s="51" t="n">
        <v>-24.4874</v>
      </c>
      <c r="P870" s="51" t="n">
        <v>-61.2108</v>
      </c>
      <c r="Q870" s="51" t="n">
        <v>52.0269</v>
      </c>
      <c r="R870" s="51" t="n">
        <v>-13.8369</v>
      </c>
      <c r="S870" s="52">
        <f>IF($I870="Yes",$O870,"")</f>
        <v/>
      </c>
    </row>
    <row r="871">
      <c r="A871" s="43" t="inlineStr">
        <is>
          <t>SDR.AX</t>
        </is>
      </c>
      <c r="B871" s="44" t="inlineStr">
        <is>
          <t>SiteMinder Limited</t>
        </is>
      </c>
      <c r="C871" s="44" t="inlineStr">
        <is>
          <t>AU</t>
        </is>
      </c>
      <c r="D871" s="44" t="inlineStr">
        <is>
          <t>— not an index member —</t>
        </is>
      </c>
      <c r="E871" s="44" t="inlineStr">
        <is>
          <t>Technology</t>
        </is>
      </c>
      <c r="F871" s="45" t="n">
        <v>869070528</v>
      </c>
      <c r="G871" s="44" t="inlineStr">
        <is>
          <t>nightly refresh</t>
        </is>
      </c>
      <c r="H871" s="43" t="n"/>
      <c r="I871" s="44" t="inlineStr">
        <is>
          <t>—</t>
        </is>
      </c>
      <c r="J871" s="44" t="inlineStr">
        <is>
          <t>2021-11-08</t>
        </is>
      </c>
      <c r="K871" s="43" t="n">
        <v>1213</v>
      </c>
      <c r="L871" s="44" t="inlineStr">
        <is>
          <t>2021-11-08</t>
        </is>
      </c>
      <c r="M871" s="44" t="inlineStr">
        <is>
          <t>2026-08-26</t>
        </is>
      </c>
      <c r="N871" s="43" t="n">
        <v>63</v>
      </c>
      <c r="O871" s="46" t="n">
        <v>-33.9007</v>
      </c>
      <c r="P871" s="46" t="n">
        <v>-66.5829</v>
      </c>
      <c r="Q871" s="46" t="n">
        <v>59.139</v>
      </c>
      <c r="R871" s="46" t="n">
        <v>-60.9296</v>
      </c>
      <c r="S871" s="47">
        <f>IF($I871="Yes",$O871,"")</f>
        <v/>
      </c>
    </row>
    <row r="872">
      <c r="A872" s="48" t="inlineStr">
        <is>
          <t>TSM</t>
        </is>
      </c>
      <c r="B872" s="49" t="inlineStr">
        <is>
          <t>Taiwan Semiconductor Manufacturing Company Limited</t>
        </is>
      </c>
      <c r="C872" s="49" t="inlineStr">
        <is>
          <t>US</t>
        </is>
      </c>
      <c r="D872" s="49" t="inlineStr">
        <is>
          <t>— not an index member —</t>
        </is>
      </c>
      <c r="E872" s="49" t="inlineStr">
        <is>
          <t>Technology</t>
        </is>
      </c>
      <c r="F872" s="50" t="n">
        <v>2166338355200</v>
      </c>
      <c r="G872" s="49" t="inlineStr">
        <is>
          <t>nightly refresh</t>
        </is>
      </c>
      <c r="H872" s="48" t="n"/>
      <c r="I872" s="49" t="inlineStr">
        <is>
          <t>—</t>
        </is>
      </c>
      <c r="J872" s="49" t="inlineStr">
        <is>
          <t>1997-10-09</t>
        </is>
      </c>
      <c r="K872" s="48" t="n">
        <v>6701</v>
      </c>
      <c r="L872" s="49" t="inlineStr">
        <is>
          <t>2000-01-03</t>
        </is>
      </c>
      <c r="M872" s="49" t="inlineStr">
        <is>
          <t>2026-08-25</t>
        </is>
      </c>
      <c r="N872" s="48" t="n">
        <v>373</v>
      </c>
      <c r="O872" s="51" t="n">
        <v>-20.8939</v>
      </c>
      <c r="P872" s="51" t="n">
        <v>-71.9628</v>
      </c>
      <c r="Q872" s="51" t="n">
        <v>56.6048</v>
      </c>
      <c r="R872" s="51" t="n">
        <v>-12.858</v>
      </c>
      <c r="S872" s="52">
        <f>IF($I872="Yes",$O872,"")</f>
        <v/>
      </c>
    </row>
    <row r="873">
      <c r="A873" s="43" t="inlineStr">
        <is>
          <t>TYR.AX</t>
        </is>
      </c>
      <c r="B873" s="44" t="inlineStr">
        <is>
          <t>Tyro Payments Limited</t>
        </is>
      </c>
      <c r="C873" s="44" t="inlineStr">
        <is>
          <t>AU</t>
        </is>
      </c>
      <c r="D873" s="44" t="inlineStr">
        <is>
          <t>— not an index member —</t>
        </is>
      </c>
      <c r="E873" s="44" t="inlineStr">
        <is>
          <t>Technology</t>
        </is>
      </c>
      <c r="F873" s="45" t="n">
        <v>407327488</v>
      </c>
      <c r="G873" s="44" t="inlineStr">
        <is>
          <t>nightly refresh</t>
        </is>
      </c>
      <c r="H873" s="43" t="n"/>
      <c r="I873" s="44" t="inlineStr">
        <is>
          <t>—</t>
        </is>
      </c>
      <c r="J873" s="44" t="inlineStr">
        <is>
          <t>2019-12-06</t>
        </is>
      </c>
      <c r="K873" s="43" t="n">
        <v>1700</v>
      </c>
      <c r="L873" s="44" t="inlineStr">
        <is>
          <t>2019-12-06</t>
        </is>
      </c>
      <c r="M873" s="44" t="inlineStr">
        <is>
          <t>2026-08-26</t>
        </is>
      </c>
      <c r="N873" s="43" t="n">
        <v>81</v>
      </c>
      <c r="O873" s="46" t="n">
        <v>-35.8939</v>
      </c>
      <c r="P873" s="46" t="n">
        <v>-86.3326</v>
      </c>
      <c r="Q873" s="46" t="n">
        <v>92.5089</v>
      </c>
      <c r="R873" s="46" t="n">
        <v>-37.8378</v>
      </c>
      <c r="S873" s="47">
        <f>IF($I873="Yes",$O873,"")</f>
        <v/>
      </c>
    </row>
    <row r="874">
      <c r="A874" s="48" t="inlineStr">
        <is>
          <t>ZS</t>
        </is>
      </c>
      <c r="B874" s="49" t="inlineStr">
        <is>
          <t>Zscaler, Inc.</t>
        </is>
      </c>
      <c r="C874" s="49" t="inlineStr">
        <is>
          <t>US</t>
        </is>
      </c>
      <c r="D874" s="49" t="inlineStr">
        <is>
          <t>— not an index member —</t>
        </is>
      </c>
      <c r="E874" s="49" t="inlineStr">
        <is>
          <t>Technology</t>
        </is>
      </c>
      <c r="F874" s="50" t="n">
        <v>27540748288</v>
      </c>
      <c r="G874" s="49" t="inlineStr">
        <is>
          <t>nightly refresh</t>
        </is>
      </c>
      <c r="H874" s="48" t="n"/>
      <c r="I874" s="49" t="inlineStr">
        <is>
          <t>—</t>
        </is>
      </c>
      <c r="J874" s="49" t="inlineStr">
        <is>
          <t>2018-03-16</t>
        </is>
      </c>
      <c r="K874" s="48" t="n">
        <v>2122</v>
      </c>
      <c r="L874" s="49" t="inlineStr">
        <is>
          <t>2018-03-16</t>
        </is>
      </c>
      <c r="M874" s="49" t="inlineStr">
        <is>
          <t>2026-08-25</t>
        </is>
      </c>
      <c r="N874" s="48" t="n">
        <v>118</v>
      </c>
      <c r="O874" s="51" t="n">
        <v>-31.5908</v>
      </c>
      <c r="P874" s="51" t="n">
        <v>-69.0915</v>
      </c>
      <c r="Q874" s="51" t="n">
        <v>102.9426</v>
      </c>
      <c r="R874" s="51" t="n">
        <v>-50.0223</v>
      </c>
      <c r="S874" s="52">
        <f>IF($I874="Yes",$O874,"")</f>
        <v/>
      </c>
    </row>
    <row r="875">
      <c r="A875" s="43" t="inlineStr">
        <is>
          <t>AQN.TO</t>
        </is>
      </c>
      <c r="B875" s="44" t="inlineStr">
        <is>
          <t>Algonquin Power &amp; Utilities Corp.</t>
        </is>
      </c>
      <c r="C875" s="44" t="inlineStr">
        <is>
          <t>CA</t>
        </is>
      </c>
      <c r="D875" s="44" t="inlineStr">
        <is>
          <t>— not an index member —</t>
        </is>
      </c>
      <c r="E875" s="44" t="inlineStr">
        <is>
          <t>Utilities</t>
        </is>
      </c>
      <c r="F875" s="45" t="n">
        <v>6082225152</v>
      </c>
      <c r="G875" s="44" t="inlineStr">
        <is>
          <t>nightly refresh</t>
        </is>
      </c>
      <c r="H875" s="43" t="n"/>
      <c r="I875" s="44" t="inlineStr">
        <is>
          <t>—</t>
        </is>
      </c>
      <c r="J875" s="44" t="inlineStr">
        <is>
          <t>2003-10-09</t>
        </is>
      </c>
      <c r="K875" s="43" t="n">
        <v>5744</v>
      </c>
      <c r="L875" s="44" t="inlineStr">
        <is>
          <t>2003-10-09</t>
        </is>
      </c>
      <c r="M875" s="44" t="inlineStr">
        <is>
          <t>2026-08-25</t>
        </is>
      </c>
      <c r="N875" s="43" t="n">
        <v>255</v>
      </c>
      <c r="O875" s="46" t="n">
        <v>-17.7385</v>
      </c>
      <c r="P875" s="46" t="n">
        <v>-77.41930000000001</v>
      </c>
      <c r="Q875" s="46" t="n">
        <v>35.4876</v>
      </c>
      <c r="R875" s="46" t="n">
        <v>-17.5051</v>
      </c>
      <c r="S875" s="47">
        <f>IF($I875="Yes",$O875,"")</f>
        <v/>
      </c>
    </row>
  </sheetData>
  <autoFilter ref="A4:S8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6" customWidth="1" min="1" max="1"/>
    <col width="62" customWidth="1" min="2" max="2"/>
    <col width="10" customWidth="1" min="3" max="3"/>
  </cols>
  <sheetData>
    <row r="1">
      <c r="A1" s="1" t="inlineStr">
        <is>
          <t>The claims that are NOT ours</t>
        </is>
      </c>
    </row>
    <row r="2" ht="30" customHeight="1">
      <c r="A2" s="2" t="inlineStr">
        <is>
          <t>Four figures in the article come from a Morgan Stanley study, not from our data. Each was read in the source document itself and is quoted here word for word.</t>
        </is>
      </c>
    </row>
    <row r="4">
      <c r="A4" s="53" t="inlineStr">
        <is>
          <t>Michael J. Mauboussin &amp; Dan Callahan, "Drawdowns and Recoveries: Base Rates for Bottoms and Bounces", Counterpoint Global Insights, Morgan Stanley — 21 May 2025</t>
        </is>
      </c>
    </row>
    <row r="5">
      <c r="A5" s="54" t="inlineStr">
        <is>
          <t>https://www.morganstanley.com/im/en-us/individual-investor/insights/consilient-observer/drawdowns-and-recoveries.html</t>
        </is>
      </c>
    </row>
    <row r="7" ht="30" customHeight="1">
      <c r="A7" s="6" t="inlineStr">
        <is>
          <t>The article says</t>
        </is>
      </c>
      <c r="B7" s="6" t="inlineStr">
        <is>
          <t>The paper says, word for word</t>
        </is>
      </c>
      <c r="C7" s="6" t="inlineStr">
        <is>
          <t>Checked</t>
        </is>
      </c>
    </row>
    <row r="8" ht="32" customHeight="1">
      <c r="A8" s="42" t="inlineStr">
        <is>
          <t>more than 6,500 US companies, 1985–2024</t>
        </is>
      </c>
      <c r="B8" s="55" t="inlineStr">
        <is>
          <t>"more than 6,500 companies from 1985 to 2024"</t>
        </is>
      </c>
      <c r="C8" s="56" t="inlineStr">
        <is>
          <t>Yes</t>
        </is>
      </c>
    </row>
    <row r="9" ht="32" customHeight="1">
      <c r="A9" s="42" t="inlineStr">
        <is>
          <t>the typical company's worst fall runs to 85%</t>
        </is>
      </c>
      <c r="B9" s="55" t="inlineStr">
        <is>
          <t>"The median drawdown was 85 percent"</t>
        </is>
      </c>
      <c r="C9" s="56" t="inlineStr">
        <is>
          <t>Yes</t>
        </is>
      </c>
    </row>
    <row r="10" ht="32" customHeight="1">
      <c r="A10" s="42" t="inlineStr">
        <is>
          <t>more than half never get back to their old high</t>
        </is>
      </c>
      <c r="B10" s="55" t="inlineStr">
        <is>
          <t>"about 54 percent of stocks never return to par after hitting bottom"</t>
        </is>
      </c>
      <c r="C10" s="56" t="inlineStr">
        <is>
          <t>Yes</t>
        </is>
      </c>
    </row>
    <row r="11" ht="32" customHeight="1">
      <c r="A11" s="42" t="inlineStr">
        <is>
          <t>America's six greatest wealth creators averaged a worst fall of 80.3%</t>
        </is>
      </c>
      <c r="B11" s="55" t="inlineStr">
        <is>
          <t>"The average maximum drawdown for the stocks of the top 6 companies was 80.3 percent, similar to the average of the full sample"</t>
        </is>
      </c>
      <c r="C11" s="56" t="inlineStr">
        <is>
          <t>Yes</t>
        </is>
      </c>
    </row>
    <row r="13">
      <c r="A13" s="25" t="inlineStr">
        <is>
          <t>Two things about that study worth knowing</t>
        </is>
      </c>
    </row>
    <row r="14">
      <c r="A14" s="42" t="inlineStr">
        <is>
          <t>Its sample EXCLUDES companies that went bankrupt or delisted (which would show 100% falls), and anything that never reached a $1m market cap. So it is less failure-biased than it first appears.</t>
        </is>
      </c>
    </row>
    <row r="15"/>
    <row r="16">
      <c r="A16" s="42" t="inlineStr">
        <is>
          <t>It measures ONE worst-ever fall per company, from an all-time peak. Our figures measure the AVERAGE ordinary fall from a one-year high. They answer different questions, and the article says so rather than inviting a false comparison.</t>
        </is>
      </c>
    </row>
    <row r="17"/>
  </sheetData>
  <mergeCells count="4">
    <mergeCell ref="A5:C5"/>
    <mergeCell ref="A4:C4"/>
    <mergeCell ref="A16:C17"/>
    <mergeCell ref="A14:C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 customWidth="1" min="1" max="1"/>
    <col width="50" customWidth="1" min="2" max="2"/>
    <col width="20" customWidth="1" min="3" max="3"/>
    <col width="52" customWidth="1" min="4" max="4"/>
  </cols>
  <sheetData>
    <row r="1">
      <c r="A1" s="1" t="inlineStr">
        <is>
          <t>Five figures you can confirm yourself, on public websites</t>
        </is>
      </c>
    </row>
    <row r="2" ht="30" customHeight="1">
      <c r="A2" s="2" t="inlineStr">
        <is>
          <t>Nobody can verify 761 companies by hand. These five are enough to show the method is sound: if they are right, the rest follow from the same code.</t>
        </is>
      </c>
    </row>
    <row r="4" ht="30" customHeight="1">
      <c r="A4" s="6" t="inlineStr">
        <is>
          <t>#</t>
        </is>
      </c>
      <c r="B4" s="6" t="inlineStr">
        <is>
          <t>What to check</t>
        </is>
      </c>
      <c r="C4" s="6" t="inlineStr">
        <is>
          <t>Our figure</t>
        </is>
      </c>
      <c r="D4" s="6" t="inlineStr">
        <is>
          <t>Where to check it</t>
        </is>
      </c>
    </row>
    <row r="5" ht="26" customHeight="1">
      <c r="A5" s="57" t="n">
        <v>1</v>
      </c>
      <c r="B5" s="58" t="inlineStr">
        <is>
          <t>Commonwealth Bank's typical fall</t>
        </is>
      </c>
      <c r="C5" s="59">
        <f>'6 · Company data'!$O$115</f>
        <v/>
      </c>
      <c r="D5" s="54" t="inlineStr">
        <is>
          <t>https://www.marketindex.com.au/asx/cba</t>
        </is>
      </c>
    </row>
    <row r="6" ht="26" customHeight="1">
      <c r="A6" s="60" t="n">
        <v>2</v>
      </c>
      <c r="B6" s="61" t="inlineStr">
        <is>
          <t>Fortescue's worst fall since 2000</t>
        </is>
      </c>
      <c r="C6" s="62">
        <f>'6 · Company data'!$P$23</f>
        <v/>
      </c>
      <c r="D6" s="63" t="inlineStr">
        <is>
          <t>https://www.marketindex.com.au/asx/fmg</t>
        </is>
      </c>
    </row>
    <row r="7" ht="26" customHeight="1">
      <c r="A7" s="57" t="n">
        <v>3</v>
      </c>
      <c r="B7" s="58" t="inlineStr">
        <is>
          <t>Westpac's worst fall came in March 2020, not the GFC</t>
        </is>
      </c>
      <c r="C7" s="64" t="inlineStr">
        <is>
          <t>March 2020</t>
        </is>
      </c>
      <c r="D7" s="54" t="inlineStr">
        <is>
          <t>https://www.marketindex.com.au/asx/wbc</t>
        </is>
      </c>
    </row>
    <row r="8" ht="26" customHeight="1">
      <c r="A8" s="60" t="n">
        <v>4</v>
      </c>
      <c r="B8" s="61" t="inlineStr">
        <is>
          <t>Mining is 50 of the 201 ASX 200 companies</t>
        </is>
      </c>
      <c r="C8" s="65" t="n">
        <v>50</v>
      </c>
      <c r="D8" s="63" t="inlineStr">
        <is>
          <t>https://www.spglobal.com/spdji/en/indices/equity/sp-asx-200/</t>
        </is>
      </c>
    </row>
    <row r="9" ht="26" customHeight="1">
      <c r="A9" s="57" t="n">
        <v>5</v>
      </c>
      <c r="B9" s="58" t="inlineStr">
        <is>
          <t>Apple's worst fall since 2000</t>
        </is>
      </c>
      <c r="C9" s="59">
        <f>'6 · Company data'!$P$592</f>
        <v/>
      </c>
      <c r="D9" s="66" t="inlineStr">
        <is>
          <t>Any long-run Apple price chart</t>
        </is>
      </c>
    </row>
  </sheetData>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2026-08-28T02:55:39Z</dcterms:created>
  <dcterms:modified xsi:type="dcterms:W3CDTF">2026-08-28T02:55:42Z</dcterms:modified>
</cp:coreProperties>
</file>